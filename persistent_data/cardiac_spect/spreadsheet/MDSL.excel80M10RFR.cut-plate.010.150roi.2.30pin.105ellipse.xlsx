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p\Partners HealthCare Dropbox\Mark Ottensmeyer\Core Lab\Hamid Sabet\CardiacSPECT\CardiacSPECT\80M10RFR\Simulation\"/>
    </mc:Choice>
  </mc:AlternateContent>
  <xr:revisionPtr revIDLastSave="0" documentId="13_ncr:1_{3408310C-5063-42C1-85E2-89A58A0B8978}" xr6:coauthVersionLast="47" xr6:coauthVersionMax="47" xr10:uidLastSave="{00000000-0000-0000-0000-000000000000}"/>
  <bookViews>
    <workbookView xWindow="5175" yWindow="1853" windowWidth="21600" windowHeight="14790" activeTab="1" xr2:uid="{00000000-000D-0000-FFFF-FFFF00000000}"/>
  </bookViews>
  <sheets>
    <sheet name="Main" sheetId="1" r:id="rId1"/>
    <sheet name="Coordinates" sheetId="2" r:id="rId2"/>
    <sheet name="MDSL cloud import" sheetId="3" r:id="rId3"/>
    <sheet name="Theta" sheetId="4" r:id="rId4"/>
    <sheet name="Values" sheetId="5" r:id="rId5"/>
    <sheet name="Design Tab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2" l="1"/>
  <c r="N82" i="2" s="1"/>
  <c r="L81" i="2"/>
  <c r="N81" i="2" s="1"/>
  <c r="L80" i="2"/>
  <c r="M80" i="2" s="1"/>
  <c r="L79" i="2"/>
  <c r="N79" i="2" s="1"/>
  <c r="L78" i="2"/>
  <c r="N78" i="2" s="1"/>
  <c r="N77" i="2"/>
  <c r="L77" i="2"/>
  <c r="M77" i="2" s="1"/>
  <c r="N76" i="2"/>
  <c r="M76" i="2"/>
  <c r="L76" i="2"/>
  <c r="L75" i="2"/>
  <c r="N75" i="2" s="1"/>
  <c r="L74" i="2"/>
  <c r="N74" i="2" s="1"/>
  <c r="N73" i="2"/>
  <c r="M73" i="2"/>
  <c r="L73" i="2"/>
  <c r="L72" i="2"/>
  <c r="N72" i="2" s="1"/>
  <c r="L71" i="2"/>
  <c r="N71" i="2" s="1"/>
  <c r="M70" i="2"/>
  <c r="L70" i="2"/>
  <c r="N70" i="2" s="1"/>
  <c r="N69" i="2"/>
  <c r="L69" i="2"/>
  <c r="M69" i="2" s="1"/>
  <c r="L68" i="2"/>
  <c r="N68" i="2" s="1"/>
  <c r="L67" i="2"/>
  <c r="N67" i="2" s="1"/>
  <c r="N66" i="2"/>
  <c r="M66" i="2"/>
  <c r="L66" i="2"/>
  <c r="L65" i="2"/>
  <c r="N65" i="2" s="1"/>
  <c r="N64" i="2"/>
  <c r="M64" i="2"/>
  <c r="L64" i="2"/>
  <c r="L63" i="2"/>
  <c r="N63" i="2" s="1"/>
  <c r="L62" i="2"/>
  <c r="N62" i="2" s="1"/>
  <c r="M61" i="2"/>
  <c r="L61" i="2"/>
  <c r="N61" i="2" s="1"/>
  <c r="L60" i="2"/>
  <c r="M60" i="2" s="1"/>
  <c r="L59" i="2"/>
  <c r="N59" i="2" s="1"/>
  <c r="L58" i="2"/>
  <c r="M58" i="2" s="1"/>
  <c r="N57" i="2"/>
  <c r="L57" i="2"/>
  <c r="M57" i="2" s="1"/>
  <c r="N56" i="2"/>
  <c r="M56" i="2"/>
  <c r="L56" i="2"/>
  <c r="L55" i="2"/>
  <c r="N55" i="2" s="1"/>
  <c r="L54" i="2"/>
  <c r="N54" i="2" s="1"/>
  <c r="N53" i="2"/>
  <c r="M53" i="2"/>
  <c r="L53" i="2"/>
  <c r="L52" i="2"/>
  <c r="N52" i="2" s="1"/>
  <c r="L51" i="2"/>
  <c r="N51" i="2" s="1"/>
  <c r="M50" i="2"/>
  <c r="L50" i="2"/>
  <c r="N50" i="2" s="1"/>
  <c r="N49" i="2"/>
  <c r="L49" i="2"/>
  <c r="M49" i="2" s="1"/>
  <c r="L48" i="2"/>
  <c r="N48" i="2" s="1"/>
  <c r="L47" i="2"/>
  <c r="N47" i="2" s="1"/>
  <c r="N46" i="2"/>
  <c r="M46" i="2"/>
  <c r="L46" i="2"/>
  <c r="L45" i="2"/>
  <c r="N45" i="2" s="1"/>
  <c r="N44" i="2"/>
  <c r="M44" i="2"/>
  <c r="L44" i="2"/>
  <c r="N43" i="2"/>
  <c r="L43" i="2"/>
  <c r="M43" i="2" s="1"/>
  <c r="L42" i="2"/>
  <c r="N42" i="2" s="1"/>
  <c r="L41" i="2"/>
  <c r="N41" i="2" s="1"/>
  <c r="L40" i="2"/>
  <c r="M40" i="2" s="1"/>
  <c r="L39" i="2"/>
  <c r="N39" i="2" s="1"/>
  <c r="L38" i="2"/>
  <c r="M38" i="2" s="1"/>
  <c r="N37" i="2"/>
  <c r="L37" i="2"/>
  <c r="M37" i="2" s="1"/>
  <c r="N36" i="2"/>
  <c r="M36" i="2"/>
  <c r="L36" i="2"/>
  <c r="L35" i="2"/>
  <c r="N35" i="2" s="1"/>
  <c r="L34" i="2"/>
  <c r="N34" i="2" s="1"/>
  <c r="N33" i="2"/>
  <c r="M33" i="2"/>
  <c r="L33" i="2"/>
  <c r="L32" i="2"/>
  <c r="N32" i="2" s="1"/>
  <c r="L31" i="2"/>
  <c r="M31" i="2" s="1"/>
  <c r="M30" i="2"/>
  <c r="L30" i="2"/>
  <c r="N30" i="2" s="1"/>
  <c r="N29" i="2"/>
  <c r="L29" i="2"/>
  <c r="M29" i="2" s="1"/>
  <c r="L28" i="2"/>
  <c r="N28" i="2" s="1"/>
  <c r="L27" i="2"/>
  <c r="N27" i="2" s="1"/>
  <c r="N26" i="2"/>
  <c r="M26" i="2"/>
  <c r="L26" i="2"/>
  <c r="L25" i="2"/>
  <c r="N25" i="2" s="1"/>
  <c r="N24" i="2"/>
  <c r="M24" i="2"/>
  <c r="L24" i="2"/>
  <c r="N23" i="2"/>
  <c r="L23" i="2"/>
  <c r="M23" i="2" s="1"/>
  <c r="L22" i="2"/>
  <c r="N22" i="2" s="1"/>
  <c r="L21" i="2"/>
  <c r="N21" i="2" s="1"/>
  <c r="L20" i="2"/>
  <c r="N20" i="2" s="1"/>
  <c r="L19" i="2"/>
  <c r="N19" i="2" s="1"/>
  <c r="L18" i="2"/>
  <c r="N18" i="2" s="1"/>
  <c r="N17" i="2"/>
  <c r="L17" i="2"/>
  <c r="M17" i="2" s="1"/>
  <c r="N16" i="2"/>
  <c r="M16" i="2"/>
  <c r="L16" i="2"/>
  <c r="L15" i="2"/>
  <c r="N15" i="2" s="1"/>
  <c r="L14" i="2"/>
  <c r="N14" i="2" s="1"/>
  <c r="N13" i="2"/>
  <c r="M13" i="2"/>
  <c r="L13" i="2"/>
  <c r="L12" i="2"/>
  <c r="N12" i="2" s="1"/>
  <c r="L11" i="2"/>
  <c r="M11" i="2" s="1"/>
  <c r="M10" i="2"/>
  <c r="L10" i="2"/>
  <c r="N10" i="2" s="1"/>
  <c r="N9" i="2"/>
  <c r="L9" i="2"/>
  <c r="M9" i="2" s="1"/>
  <c r="L8" i="2"/>
  <c r="N8" i="2" s="1"/>
  <c r="L7" i="2"/>
  <c r="N7" i="2" s="1"/>
  <c r="N6" i="2"/>
  <c r="M6" i="2"/>
  <c r="L6" i="2"/>
  <c r="L5" i="2"/>
  <c r="N5" i="2" s="1"/>
  <c r="N4" i="2"/>
  <c r="M4" i="2"/>
  <c r="L4" i="2"/>
  <c r="N3" i="2"/>
  <c r="M3" i="2"/>
  <c r="L3" i="2"/>
  <c r="J3" i="2"/>
  <c r="I3" i="2"/>
  <c r="AA83" i="6"/>
  <c r="Z83" i="6"/>
  <c r="V83" i="6"/>
  <c r="U83" i="6"/>
  <c r="T83" i="6"/>
  <c r="R83" i="6"/>
  <c r="P83" i="6"/>
  <c r="N83" i="6"/>
  <c r="L83" i="6"/>
  <c r="J83" i="6"/>
  <c r="I83" i="6"/>
  <c r="H83" i="6"/>
  <c r="G83" i="6"/>
  <c r="F83" i="6"/>
  <c r="E83" i="6"/>
  <c r="C83" i="6"/>
  <c r="B83" i="6"/>
  <c r="AA82" i="6"/>
  <c r="Z82" i="6"/>
  <c r="V82" i="6"/>
  <c r="U82" i="6"/>
  <c r="T82" i="6"/>
  <c r="R82" i="6"/>
  <c r="P82" i="6"/>
  <c r="N82" i="6"/>
  <c r="L82" i="6"/>
  <c r="J82" i="6"/>
  <c r="I82" i="6"/>
  <c r="H82" i="6"/>
  <c r="G82" i="6"/>
  <c r="F82" i="6"/>
  <c r="E82" i="6"/>
  <c r="C82" i="6"/>
  <c r="B82" i="6"/>
  <c r="AA81" i="6"/>
  <c r="Z81" i="6"/>
  <c r="V81" i="6"/>
  <c r="U81" i="6"/>
  <c r="T81" i="6"/>
  <c r="R81" i="6"/>
  <c r="P81" i="6"/>
  <c r="N81" i="6"/>
  <c r="L81" i="6"/>
  <c r="J81" i="6"/>
  <c r="I81" i="6"/>
  <c r="H81" i="6"/>
  <c r="G81" i="6"/>
  <c r="F81" i="6"/>
  <c r="E81" i="6"/>
  <c r="C81" i="6"/>
  <c r="B81" i="6"/>
  <c r="AA80" i="6"/>
  <c r="Z80" i="6"/>
  <c r="V80" i="6"/>
  <c r="U80" i="6"/>
  <c r="T80" i="6"/>
  <c r="R80" i="6"/>
  <c r="P80" i="6"/>
  <c r="N80" i="6"/>
  <c r="L80" i="6"/>
  <c r="J80" i="6"/>
  <c r="I80" i="6"/>
  <c r="H80" i="6"/>
  <c r="G80" i="6"/>
  <c r="F80" i="6"/>
  <c r="E80" i="6"/>
  <c r="C80" i="6"/>
  <c r="B80" i="6"/>
  <c r="AA79" i="6"/>
  <c r="Z79" i="6"/>
  <c r="V79" i="6"/>
  <c r="U79" i="6"/>
  <c r="T79" i="6"/>
  <c r="R79" i="6"/>
  <c r="P79" i="6"/>
  <c r="N79" i="6"/>
  <c r="L79" i="6"/>
  <c r="J79" i="6"/>
  <c r="I79" i="6"/>
  <c r="H79" i="6"/>
  <c r="G79" i="6"/>
  <c r="F79" i="6"/>
  <c r="E79" i="6"/>
  <c r="C79" i="6"/>
  <c r="B79" i="6"/>
  <c r="AA78" i="6"/>
  <c r="Z78" i="6"/>
  <c r="V78" i="6"/>
  <c r="U78" i="6"/>
  <c r="T78" i="6"/>
  <c r="R78" i="6"/>
  <c r="P78" i="6"/>
  <c r="N78" i="6"/>
  <c r="L78" i="6"/>
  <c r="J78" i="6"/>
  <c r="I78" i="6"/>
  <c r="H78" i="6"/>
  <c r="G78" i="6"/>
  <c r="F78" i="6"/>
  <c r="E78" i="6"/>
  <c r="C78" i="6"/>
  <c r="B78" i="6"/>
  <c r="AA77" i="6"/>
  <c r="Z77" i="6"/>
  <c r="V77" i="6"/>
  <c r="U77" i="6"/>
  <c r="T77" i="6"/>
  <c r="R77" i="6"/>
  <c r="P77" i="6"/>
  <c r="N77" i="6"/>
  <c r="L77" i="6"/>
  <c r="J77" i="6"/>
  <c r="I77" i="6"/>
  <c r="H77" i="6"/>
  <c r="G77" i="6"/>
  <c r="F77" i="6"/>
  <c r="E77" i="6"/>
  <c r="C77" i="6"/>
  <c r="B77" i="6"/>
  <c r="AA76" i="6"/>
  <c r="Z76" i="6"/>
  <c r="V76" i="6"/>
  <c r="U76" i="6"/>
  <c r="T76" i="6"/>
  <c r="R76" i="6"/>
  <c r="P76" i="6"/>
  <c r="N76" i="6"/>
  <c r="L76" i="6"/>
  <c r="J76" i="6"/>
  <c r="I76" i="6"/>
  <c r="H76" i="6"/>
  <c r="G76" i="6"/>
  <c r="F76" i="6"/>
  <c r="E76" i="6"/>
  <c r="C76" i="6"/>
  <c r="B76" i="6"/>
  <c r="AA75" i="6"/>
  <c r="Z75" i="6"/>
  <c r="V75" i="6"/>
  <c r="U75" i="6"/>
  <c r="T75" i="6"/>
  <c r="R75" i="6"/>
  <c r="P75" i="6"/>
  <c r="N75" i="6"/>
  <c r="L75" i="6"/>
  <c r="J75" i="6"/>
  <c r="I75" i="6"/>
  <c r="H75" i="6"/>
  <c r="G75" i="6"/>
  <c r="F75" i="6"/>
  <c r="E75" i="6"/>
  <c r="C75" i="6"/>
  <c r="B75" i="6"/>
  <c r="AA74" i="6"/>
  <c r="Z74" i="6"/>
  <c r="V74" i="6"/>
  <c r="U74" i="6"/>
  <c r="T74" i="6"/>
  <c r="R74" i="6"/>
  <c r="P74" i="6"/>
  <c r="N74" i="6"/>
  <c r="L74" i="6"/>
  <c r="J74" i="6"/>
  <c r="I74" i="6"/>
  <c r="H74" i="6"/>
  <c r="G74" i="6"/>
  <c r="F74" i="6"/>
  <c r="E74" i="6"/>
  <c r="C74" i="6"/>
  <c r="B74" i="6"/>
  <c r="AA73" i="6"/>
  <c r="Z73" i="6"/>
  <c r="V73" i="6"/>
  <c r="U73" i="6"/>
  <c r="T73" i="6"/>
  <c r="R73" i="6"/>
  <c r="P73" i="6"/>
  <c r="N73" i="6"/>
  <c r="L73" i="6"/>
  <c r="J73" i="6"/>
  <c r="I73" i="6"/>
  <c r="H73" i="6"/>
  <c r="G73" i="6"/>
  <c r="F73" i="6"/>
  <c r="E73" i="6"/>
  <c r="C73" i="6"/>
  <c r="B73" i="6"/>
  <c r="AA72" i="6"/>
  <c r="Z72" i="6"/>
  <c r="V72" i="6"/>
  <c r="U72" i="6"/>
  <c r="T72" i="6"/>
  <c r="R72" i="6"/>
  <c r="P72" i="6"/>
  <c r="N72" i="6"/>
  <c r="L72" i="6"/>
  <c r="J72" i="6"/>
  <c r="I72" i="6"/>
  <c r="H72" i="6"/>
  <c r="G72" i="6"/>
  <c r="F72" i="6"/>
  <c r="E72" i="6"/>
  <c r="C72" i="6"/>
  <c r="B72" i="6"/>
  <c r="AA71" i="6"/>
  <c r="Z71" i="6"/>
  <c r="V71" i="6"/>
  <c r="U71" i="6"/>
  <c r="T71" i="6"/>
  <c r="R71" i="6"/>
  <c r="P71" i="6"/>
  <c r="N71" i="6"/>
  <c r="L71" i="6"/>
  <c r="J71" i="6"/>
  <c r="I71" i="6"/>
  <c r="H71" i="6"/>
  <c r="G71" i="6"/>
  <c r="F71" i="6"/>
  <c r="E71" i="6"/>
  <c r="C71" i="6"/>
  <c r="B71" i="6"/>
  <c r="AA70" i="6"/>
  <c r="Z70" i="6"/>
  <c r="V70" i="6"/>
  <c r="U70" i="6"/>
  <c r="T70" i="6"/>
  <c r="R70" i="6"/>
  <c r="P70" i="6"/>
  <c r="N70" i="6"/>
  <c r="L70" i="6"/>
  <c r="J70" i="6"/>
  <c r="I70" i="6"/>
  <c r="H70" i="6"/>
  <c r="G70" i="6"/>
  <c r="F70" i="6"/>
  <c r="E70" i="6"/>
  <c r="C70" i="6"/>
  <c r="B70" i="6"/>
  <c r="AA69" i="6"/>
  <c r="Z69" i="6"/>
  <c r="V69" i="6"/>
  <c r="U69" i="6"/>
  <c r="T69" i="6"/>
  <c r="R69" i="6"/>
  <c r="P69" i="6"/>
  <c r="N69" i="6"/>
  <c r="L69" i="6"/>
  <c r="J69" i="6"/>
  <c r="I69" i="6"/>
  <c r="H69" i="6"/>
  <c r="G69" i="6"/>
  <c r="F69" i="6"/>
  <c r="E69" i="6"/>
  <c r="C69" i="6"/>
  <c r="B69" i="6"/>
  <c r="AA68" i="6"/>
  <c r="Z68" i="6"/>
  <c r="V68" i="6"/>
  <c r="U68" i="6"/>
  <c r="T68" i="6"/>
  <c r="R68" i="6"/>
  <c r="P68" i="6"/>
  <c r="N68" i="6"/>
  <c r="L68" i="6"/>
  <c r="J68" i="6"/>
  <c r="I68" i="6"/>
  <c r="H68" i="6"/>
  <c r="G68" i="6"/>
  <c r="F68" i="6"/>
  <c r="E68" i="6"/>
  <c r="C68" i="6"/>
  <c r="B68" i="6"/>
  <c r="AA67" i="6"/>
  <c r="Z67" i="6"/>
  <c r="V67" i="6"/>
  <c r="U67" i="6"/>
  <c r="T67" i="6"/>
  <c r="R67" i="6"/>
  <c r="P67" i="6"/>
  <c r="N67" i="6"/>
  <c r="L67" i="6"/>
  <c r="J67" i="6"/>
  <c r="I67" i="6"/>
  <c r="H67" i="6"/>
  <c r="G67" i="6"/>
  <c r="F67" i="6"/>
  <c r="E67" i="6"/>
  <c r="C67" i="6"/>
  <c r="B67" i="6"/>
  <c r="AA66" i="6"/>
  <c r="Z66" i="6"/>
  <c r="V66" i="6"/>
  <c r="U66" i="6"/>
  <c r="T66" i="6"/>
  <c r="R66" i="6"/>
  <c r="P66" i="6"/>
  <c r="N66" i="6"/>
  <c r="L66" i="6"/>
  <c r="J66" i="6"/>
  <c r="I66" i="6"/>
  <c r="H66" i="6"/>
  <c r="G66" i="6"/>
  <c r="F66" i="6"/>
  <c r="E66" i="6"/>
  <c r="C66" i="6"/>
  <c r="B66" i="6"/>
  <c r="AA65" i="6"/>
  <c r="Z65" i="6"/>
  <c r="V65" i="6"/>
  <c r="U65" i="6"/>
  <c r="T65" i="6"/>
  <c r="R65" i="6"/>
  <c r="P65" i="6"/>
  <c r="N65" i="6"/>
  <c r="L65" i="6"/>
  <c r="J65" i="6"/>
  <c r="I65" i="6"/>
  <c r="H65" i="6"/>
  <c r="G65" i="6"/>
  <c r="F65" i="6"/>
  <c r="E65" i="6"/>
  <c r="C65" i="6"/>
  <c r="B65" i="6"/>
  <c r="AA64" i="6"/>
  <c r="Z64" i="6"/>
  <c r="V64" i="6"/>
  <c r="U64" i="6"/>
  <c r="T64" i="6"/>
  <c r="R64" i="6"/>
  <c r="P64" i="6"/>
  <c r="N64" i="6"/>
  <c r="L64" i="6"/>
  <c r="J64" i="6"/>
  <c r="I64" i="6"/>
  <c r="H64" i="6"/>
  <c r="G64" i="6"/>
  <c r="F64" i="6"/>
  <c r="E64" i="6"/>
  <c r="C64" i="6"/>
  <c r="B64" i="6"/>
  <c r="AA63" i="6"/>
  <c r="Z63" i="6"/>
  <c r="V63" i="6"/>
  <c r="U63" i="6"/>
  <c r="T63" i="6"/>
  <c r="R63" i="6"/>
  <c r="P63" i="6"/>
  <c r="N63" i="6"/>
  <c r="L63" i="6"/>
  <c r="J63" i="6"/>
  <c r="I63" i="6"/>
  <c r="H63" i="6"/>
  <c r="G63" i="6"/>
  <c r="F63" i="6"/>
  <c r="E63" i="6"/>
  <c r="C63" i="6"/>
  <c r="B63" i="6"/>
  <c r="AA62" i="6"/>
  <c r="Z62" i="6"/>
  <c r="V62" i="6"/>
  <c r="U62" i="6"/>
  <c r="T62" i="6"/>
  <c r="R62" i="6"/>
  <c r="P62" i="6"/>
  <c r="N62" i="6"/>
  <c r="L62" i="6"/>
  <c r="J62" i="6"/>
  <c r="I62" i="6"/>
  <c r="H62" i="6"/>
  <c r="G62" i="6"/>
  <c r="F62" i="6"/>
  <c r="E62" i="6"/>
  <c r="C62" i="6"/>
  <c r="B62" i="6"/>
  <c r="AA61" i="6"/>
  <c r="Z61" i="6"/>
  <c r="V61" i="6"/>
  <c r="U61" i="6"/>
  <c r="T61" i="6"/>
  <c r="R61" i="6"/>
  <c r="P61" i="6"/>
  <c r="N61" i="6"/>
  <c r="L61" i="6"/>
  <c r="J61" i="6"/>
  <c r="I61" i="6"/>
  <c r="H61" i="6"/>
  <c r="G61" i="6"/>
  <c r="F61" i="6"/>
  <c r="E61" i="6"/>
  <c r="C61" i="6"/>
  <c r="B61" i="6"/>
  <c r="AA60" i="6"/>
  <c r="Z60" i="6"/>
  <c r="V60" i="6"/>
  <c r="U60" i="6"/>
  <c r="T60" i="6"/>
  <c r="R60" i="6"/>
  <c r="P60" i="6"/>
  <c r="N60" i="6"/>
  <c r="L60" i="6"/>
  <c r="J60" i="6"/>
  <c r="I60" i="6"/>
  <c r="H60" i="6"/>
  <c r="G60" i="6"/>
  <c r="F60" i="6"/>
  <c r="E60" i="6"/>
  <c r="C60" i="6"/>
  <c r="B60" i="6"/>
  <c r="AA59" i="6"/>
  <c r="Z59" i="6"/>
  <c r="V59" i="6"/>
  <c r="U59" i="6"/>
  <c r="T59" i="6"/>
  <c r="R59" i="6"/>
  <c r="P59" i="6"/>
  <c r="N59" i="6"/>
  <c r="L59" i="6"/>
  <c r="J59" i="6"/>
  <c r="I59" i="6"/>
  <c r="H59" i="6"/>
  <c r="G59" i="6"/>
  <c r="F59" i="6"/>
  <c r="E59" i="6"/>
  <c r="C59" i="6"/>
  <c r="B59" i="6"/>
  <c r="AA58" i="6"/>
  <c r="Z58" i="6"/>
  <c r="V58" i="6"/>
  <c r="U58" i="6"/>
  <c r="T58" i="6"/>
  <c r="R58" i="6"/>
  <c r="P58" i="6"/>
  <c r="N58" i="6"/>
  <c r="L58" i="6"/>
  <c r="J58" i="6"/>
  <c r="I58" i="6"/>
  <c r="H58" i="6"/>
  <c r="G58" i="6"/>
  <c r="F58" i="6"/>
  <c r="E58" i="6"/>
  <c r="C58" i="6"/>
  <c r="B58" i="6"/>
  <c r="AA57" i="6"/>
  <c r="Z57" i="6"/>
  <c r="V57" i="6"/>
  <c r="U57" i="6"/>
  <c r="T57" i="6"/>
  <c r="R57" i="6"/>
  <c r="P57" i="6"/>
  <c r="N57" i="6"/>
  <c r="L57" i="6"/>
  <c r="J57" i="6"/>
  <c r="I57" i="6"/>
  <c r="H57" i="6"/>
  <c r="G57" i="6"/>
  <c r="F57" i="6"/>
  <c r="E57" i="6"/>
  <c r="C57" i="6"/>
  <c r="B57" i="6"/>
  <c r="AA56" i="6"/>
  <c r="Z56" i="6"/>
  <c r="V56" i="6"/>
  <c r="U56" i="6"/>
  <c r="T56" i="6"/>
  <c r="R56" i="6"/>
  <c r="P56" i="6"/>
  <c r="N56" i="6"/>
  <c r="L56" i="6"/>
  <c r="J56" i="6"/>
  <c r="I56" i="6"/>
  <c r="H56" i="6"/>
  <c r="G56" i="6"/>
  <c r="F56" i="6"/>
  <c r="E56" i="6"/>
  <c r="C56" i="6"/>
  <c r="B56" i="6"/>
  <c r="AA55" i="6"/>
  <c r="Z55" i="6"/>
  <c r="V55" i="6"/>
  <c r="U55" i="6"/>
  <c r="T55" i="6"/>
  <c r="R55" i="6"/>
  <c r="P55" i="6"/>
  <c r="N55" i="6"/>
  <c r="L55" i="6"/>
  <c r="J55" i="6"/>
  <c r="I55" i="6"/>
  <c r="H55" i="6"/>
  <c r="G55" i="6"/>
  <c r="F55" i="6"/>
  <c r="E55" i="6"/>
  <c r="C55" i="6"/>
  <c r="B55" i="6"/>
  <c r="AA54" i="6"/>
  <c r="Z54" i="6"/>
  <c r="V54" i="6"/>
  <c r="U54" i="6"/>
  <c r="T54" i="6"/>
  <c r="R54" i="6"/>
  <c r="P54" i="6"/>
  <c r="N54" i="6"/>
  <c r="L54" i="6"/>
  <c r="J54" i="6"/>
  <c r="I54" i="6"/>
  <c r="H54" i="6"/>
  <c r="G54" i="6"/>
  <c r="F54" i="6"/>
  <c r="E54" i="6"/>
  <c r="C54" i="6"/>
  <c r="B54" i="6"/>
  <c r="AA53" i="6"/>
  <c r="Z53" i="6"/>
  <c r="V53" i="6"/>
  <c r="U53" i="6"/>
  <c r="T53" i="6"/>
  <c r="R53" i="6"/>
  <c r="P53" i="6"/>
  <c r="N53" i="6"/>
  <c r="L53" i="6"/>
  <c r="J53" i="6"/>
  <c r="I53" i="6"/>
  <c r="H53" i="6"/>
  <c r="G53" i="6"/>
  <c r="F53" i="6"/>
  <c r="E53" i="6"/>
  <c r="C53" i="6"/>
  <c r="B53" i="6"/>
  <c r="AA52" i="6"/>
  <c r="Z52" i="6"/>
  <c r="V52" i="6"/>
  <c r="U52" i="6"/>
  <c r="T52" i="6"/>
  <c r="R52" i="6"/>
  <c r="P52" i="6"/>
  <c r="N52" i="6"/>
  <c r="L52" i="6"/>
  <c r="J52" i="6"/>
  <c r="I52" i="6"/>
  <c r="H52" i="6"/>
  <c r="G52" i="6"/>
  <c r="F52" i="6"/>
  <c r="E52" i="6"/>
  <c r="C52" i="6"/>
  <c r="B52" i="6"/>
  <c r="AA51" i="6"/>
  <c r="Z51" i="6"/>
  <c r="V51" i="6"/>
  <c r="U51" i="6"/>
  <c r="T51" i="6"/>
  <c r="R51" i="6"/>
  <c r="P51" i="6"/>
  <c r="N51" i="6"/>
  <c r="L51" i="6"/>
  <c r="J51" i="6"/>
  <c r="I51" i="6"/>
  <c r="H51" i="6"/>
  <c r="G51" i="6"/>
  <c r="F51" i="6"/>
  <c r="E51" i="6"/>
  <c r="C51" i="6"/>
  <c r="B51" i="6"/>
  <c r="AA50" i="6"/>
  <c r="Z50" i="6"/>
  <c r="V50" i="6"/>
  <c r="U50" i="6"/>
  <c r="T50" i="6"/>
  <c r="R50" i="6"/>
  <c r="P50" i="6"/>
  <c r="N50" i="6"/>
  <c r="L50" i="6"/>
  <c r="J50" i="6"/>
  <c r="I50" i="6"/>
  <c r="H50" i="6"/>
  <c r="G50" i="6"/>
  <c r="F50" i="6"/>
  <c r="E50" i="6"/>
  <c r="C50" i="6"/>
  <c r="B50" i="6"/>
  <c r="AA49" i="6"/>
  <c r="Z49" i="6"/>
  <c r="V49" i="6"/>
  <c r="U49" i="6"/>
  <c r="T49" i="6"/>
  <c r="R49" i="6"/>
  <c r="P49" i="6"/>
  <c r="N49" i="6"/>
  <c r="L49" i="6"/>
  <c r="J49" i="6"/>
  <c r="I49" i="6"/>
  <c r="H49" i="6"/>
  <c r="G49" i="6"/>
  <c r="F49" i="6"/>
  <c r="E49" i="6"/>
  <c r="C49" i="6"/>
  <c r="B49" i="6"/>
  <c r="AA48" i="6"/>
  <c r="Z48" i="6"/>
  <c r="V48" i="6"/>
  <c r="U48" i="6"/>
  <c r="T48" i="6"/>
  <c r="R48" i="6"/>
  <c r="P48" i="6"/>
  <c r="N48" i="6"/>
  <c r="L48" i="6"/>
  <c r="J48" i="6"/>
  <c r="I48" i="6"/>
  <c r="H48" i="6"/>
  <c r="G48" i="6"/>
  <c r="F48" i="6"/>
  <c r="E48" i="6"/>
  <c r="C48" i="6"/>
  <c r="B48" i="6"/>
  <c r="AA47" i="6"/>
  <c r="Z47" i="6"/>
  <c r="V47" i="6"/>
  <c r="U47" i="6"/>
  <c r="T47" i="6"/>
  <c r="R47" i="6"/>
  <c r="P47" i="6"/>
  <c r="N47" i="6"/>
  <c r="L47" i="6"/>
  <c r="J47" i="6"/>
  <c r="I47" i="6"/>
  <c r="H47" i="6"/>
  <c r="G47" i="6"/>
  <c r="F47" i="6"/>
  <c r="E47" i="6"/>
  <c r="C47" i="6"/>
  <c r="B47" i="6"/>
  <c r="AA46" i="6"/>
  <c r="Z46" i="6"/>
  <c r="V46" i="6"/>
  <c r="U46" i="6"/>
  <c r="T46" i="6"/>
  <c r="R46" i="6"/>
  <c r="P46" i="6"/>
  <c r="N46" i="6"/>
  <c r="L46" i="6"/>
  <c r="J46" i="6"/>
  <c r="I46" i="6"/>
  <c r="H46" i="6"/>
  <c r="G46" i="6"/>
  <c r="F46" i="6"/>
  <c r="E46" i="6"/>
  <c r="C46" i="6"/>
  <c r="B46" i="6"/>
  <c r="AA45" i="6"/>
  <c r="Z45" i="6"/>
  <c r="V45" i="6"/>
  <c r="U45" i="6"/>
  <c r="T45" i="6"/>
  <c r="R45" i="6"/>
  <c r="P45" i="6"/>
  <c r="N45" i="6"/>
  <c r="L45" i="6"/>
  <c r="J45" i="6"/>
  <c r="I45" i="6"/>
  <c r="H45" i="6"/>
  <c r="G45" i="6"/>
  <c r="F45" i="6"/>
  <c r="E45" i="6"/>
  <c r="C45" i="6"/>
  <c r="B45" i="6"/>
  <c r="AA44" i="6"/>
  <c r="Z44" i="6"/>
  <c r="V44" i="6"/>
  <c r="U44" i="6"/>
  <c r="T44" i="6"/>
  <c r="R44" i="6"/>
  <c r="P44" i="6"/>
  <c r="N44" i="6"/>
  <c r="L44" i="6"/>
  <c r="J44" i="6"/>
  <c r="I44" i="6"/>
  <c r="H44" i="6"/>
  <c r="G44" i="6"/>
  <c r="F44" i="6"/>
  <c r="E44" i="6"/>
  <c r="C44" i="6"/>
  <c r="B44" i="6"/>
  <c r="AA43" i="6"/>
  <c r="Z43" i="6"/>
  <c r="V43" i="6"/>
  <c r="U43" i="6"/>
  <c r="T43" i="6"/>
  <c r="R43" i="6"/>
  <c r="P43" i="6"/>
  <c r="N43" i="6"/>
  <c r="L43" i="6"/>
  <c r="J43" i="6"/>
  <c r="I43" i="6"/>
  <c r="H43" i="6"/>
  <c r="G43" i="6"/>
  <c r="F43" i="6"/>
  <c r="E43" i="6"/>
  <c r="C43" i="6"/>
  <c r="B43" i="6"/>
  <c r="AA42" i="6"/>
  <c r="Z42" i="6"/>
  <c r="V42" i="6"/>
  <c r="U42" i="6"/>
  <c r="T42" i="6"/>
  <c r="R42" i="6"/>
  <c r="P42" i="6"/>
  <c r="N42" i="6"/>
  <c r="L42" i="6"/>
  <c r="J42" i="6"/>
  <c r="I42" i="6"/>
  <c r="H42" i="6"/>
  <c r="G42" i="6"/>
  <c r="F42" i="6"/>
  <c r="E42" i="6"/>
  <c r="C42" i="6"/>
  <c r="B42" i="6"/>
  <c r="AA41" i="6"/>
  <c r="Z41" i="6"/>
  <c r="V41" i="6"/>
  <c r="U41" i="6"/>
  <c r="T41" i="6"/>
  <c r="R41" i="6"/>
  <c r="P41" i="6"/>
  <c r="N41" i="6"/>
  <c r="L41" i="6"/>
  <c r="J41" i="6"/>
  <c r="I41" i="6"/>
  <c r="H41" i="6"/>
  <c r="G41" i="6"/>
  <c r="F41" i="6"/>
  <c r="E41" i="6"/>
  <c r="C41" i="6"/>
  <c r="B41" i="6"/>
  <c r="AA40" i="6"/>
  <c r="Z40" i="6"/>
  <c r="V40" i="6"/>
  <c r="U40" i="6"/>
  <c r="T40" i="6"/>
  <c r="R40" i="6"/>
  <c r="P40" i="6"/>
  <c r="N40" i="6"/>
  <c r="L40" i="6"/>
  <c r="J40" i="6"/>
  <c r="I40" i="6"/>
  <c r="H40" i="6"/>
  <c r="G40" i="6"/>
  <c r="F40" i="6"/>
  <c r="E40" i="6"/>
  <c r="C40" i="6"/>
  <c r="B40" i="6"/>
  <c r="AA39" i="6"/>
  <c r="Z39" i="6"/>
  <c r="V39" i="6"/>
  <c r="U39" i="6"/>
  <c r="T39" i="6"/>
  <c r="R39" i="6"/>
  <c r="P39" i="6"/>
  <c r="N39" i="6"/>
  <c r="L39" i="6"/>
  <c r="J39" i="6"/>
  <c r="I39" i="6"/>
  <c r="H39" i="6"/>
  <c r="G39" i="6"/>
  <c r="F39" i="6"/>
  <c r="E39" i="6"/>
  <c r="C39" i="6"/>
  <c r="B39" i="6"/>
  <c r="AA38" i="6"/>
  <c r="Z38" i="6"/>
  <c r="V38" i="6"/>
  <c r="U38" i="6"/>
  <c r="T38" i="6"/>
  <c r="R38" i="6"/>
  <c r="P38" i="6"/>
  <c r="N38" i="6"/>
  <c r="L38" i="6"/>
  <c r="J38" i="6"/>
  <c r="I38" i="6"/>
  <c r="H38" i="6"/>
  <c r="G38" i="6"/>
  <c r="F38" i="6"/>
  <c r="E38" i="6"/>
  <c r="C38" i="6"/>
  <c r="B38" i="6"/>
  <c r="AA37" i="6"/>
  <c r="Z37" i="6"/>
  <c r="V37" i="6"/>
  <c r="U37" i="6"/>
  <c r="T37" i="6"/>
  <c r="R37" i="6"/>
  <c r="P37" i="6"/>
  <c r="N37" i="6"/>
  <c r="L37" i="6"/>
  <c r="J37" i="6"/>
  <c r="I37" i="6"/>
  <c r="H37" i="6"/>
  <c r="G37" i="6"/>
  <c r="F37" i="6"/>
  <c r="E37" i="6"/>
  <c r="C37" i="6"/>
  <c r="B37" i="6"/>
  <c r="AA36" i="6"/>
  <c r="Z36" i="6"/>
  <c r="V36" i="6"/>
  <c r="U36" i="6"/>
  <c r="T36" i="6"/>
  <c r="R36" i="6"/>
  <c r="P36" i="6"/>
  <c r="N36" i="6"/>
  <c r="L36" i="6"/>
  <c r="J36" i="6"/>
  <c r="I36" i="6"/>
  <c r="H36" i="6"/>
  <c r="G36" i="6"/>
  <c r="F36" i="6"/>
  <c r="E36" i="6"/>
  <c r="C36" i="6"/>
  <c r="B36" i="6"/>
  <c r="AA35" i="6"/>
  <c r="Z35" i="6"/>
  <c r="V35" i="6"/>
  <c r="U35" i="6"/>
  <c r="T35" i="6"/>
  <c r="R35" i="6"/>
  <c r="P35" i="6"/>
  <c r="N35" i="6"/>
  <c r="L35" i="6"/>
  <c r="J35" i="6"/>
  <c r="I35" i="6"/>
  <c r="H35" i="6"/>
  <c r="G35" i="6"/>
  <c r="F35" i="6"/>
  <c r="E35" i="6"/>
  <c r="C35" i="6"/>
  <c r="B35" i="6"/>
  <c r="AA34" i="6"/>
  <c r="Z34" i="6"/>
  <c r="V34" i="6"/>
  <c r="U34" i="6"/>
  <c r="T34" i="6"/>
  <c r="R34" i="6"/>
  <c r="P34" i="6"/>
  <c r="N34" i="6"/>
  <c r="L34" i="6"/>
  <c r="J34" i="6"/>
  <c r="I34" i="6"/>
  <c r="H34" i="6"/>
  <c r="G34" i="6"/>
  <c r="F34" i="6"/>
  <c r="E34" i="6"/>
  <c r="C34" i="6"/>
  <c r="B34" i="6"/>
  <c r="AA33" i="6"/>
  <c r="Z33" i="6"/>
  <c r="V33" i="6"/>
  <c r="U33" i="6"/>
  <c r="T33" i="6"/>
  <c r="R33" i="6"/>
  <c r="P33" i="6"/>
  <c r="N33" i="6"/>
  <c r="L33" i="6"/>
  <c r="J33" i="6"/>
  <c r="I33" i="6"/>
  <c r="H33" i="6"/>
  <c r="G33" i="6"/>
  <c r="F33" i="6"/>
  <c r="E33" i="6"/>
  <c r="C33" i="6"/>
  <c r="B33" i="6"/>
  <c r="AA32" i="6"/>
  <c r="Z32" i="6"/>
  <c r="V32" i="6"/>
  <c r="U32" i="6"/>
  <c r="T32" i="6"/>
  <c r="R32" i="6"/>
  <c r="P32" i="6"/>
  <c r="N32" i="6"/>
  <c r="L32" i="6"/>
  <c r="J32" i="6"/>
  <c r="I32" i="6"/>
  <c r="H32" i="6"/>
  <c r="G32" i="6"/>
  <c r="F32" i="6"/>
  <c r="E32" i="6"/>
  <c r="C32" i="6"/>
  <c r="B32" i="6"/>
  <c r="AA31" i="6"/>
  <c r="Z31" i="6"/>
  <c r="V31" i="6"/>
  <c r="U31" i="6"/>
  <c r="T31" i="6"/>
  <c r="R31" i="6"/>
  <c r="P31" i="6"/>
  <c r="N31" i="6"/>
  <c r="L31" i="6"/>
  <c r="J31" i="6"/>
  <c r="I31" i="6"/>
  <c r="H31" i="6"/>
  <c r="G31" i="6"/>
  <c r="F31" i="6"/>
  <c r="E31" i="6"/>
  <c r="C31" i="6"/>
  <c r="B31" i="6"/>
  <c r="AA30" i="6"/>
  <c r="Z30" i="6"/>
  <c r="V30" i="6"/>
  <c r="U30" i="6"/>
  <c r="T30" i="6"/>
  <c r="R30" i="6"/>
  <c r="P30" i="6"/>
  <c r="N30" i="6"/>
  <c r="L30" i="6"/>
  <c r="J30" i="6"/>
  <c r="I30" i="6"/>
  <c r="H30" i="6"/>
  <c r="G30" i="6"/>
  <c r="F30" i="6"/>
  <c r="E30" i="6"/>
  <c r="C30" i="6"/>
  <c r="B30" i="6"/>
  <c r="AA29" i="6"/>
  <c r="Z29" i="6"/>
  <c r="V29" i="6"/>
  <c r="U29" i="6"/>
  <c r="T29" i="6"/>
  <c r="R29" i="6"/>
  <c r="P29" i="6"/>
  <c r="N29" i="6"/>
  <c r="L29" i="6"/>
  <c r="J29" i="6"/>
  <c r="I29" i="6"/>
  <c r="H29" i="6"/>
  <c r="G29" i="6"/>
  <c r="F29" i="6"/>
  <c r="E29" i="6"/>
  <c r="C29" i="6"/>
  <c r="B29" i="6"/>
  <c r="AA28" i="6"/>
  <c r="Z28" i="6"/>
  <c r="V28" i="6"/>
  <c r="U28" i="6"/>
  <c r="T28" i="6"/>
  <c r="R28" i="6"/>
  <c r="P28" i="6"/>
  <c r="N28" i="6"/>
  <c r="L28" i="6"/>
  <c r="J28" i="6"/>
  <c r="I28" i="6"/>
  <c r="H28" i="6"/>
  <c r="G28" i="6"/>
  <c r="F28" i="6"/>
  <c r="E28" i="6"/>
  <c r="C28" i="6"/>
  <c r="B28" i="6"/>
  <c r="AA27" i="6"/>
  <c r="Z27" i="6"/>
  <c r="V27" i="6"/>
  <c r="U27" i="6"/>
  <c r="T27" i="6"/>
  <c r="R27" i="6"/>
  <c r="P27" i="6"/>
  <c r="N27" i="6"/>
  <c r="L27" i="6"/>
  <c r="J27" i="6"/>
  <c r="I27" i="6"/>
  <c r="H27" i="6"/>
  <c r="G27" i="6"/>
  <c r="F27" i="6"/>
  <c r="E27" i="6"/>
  <c r="C27" i="6"/>
  <c r="B27" i="6"/>
  <c r="AA26" i="6"/>
  <c r="Z26" i="6"/>
  <c r="V26" i="6"/>
  <c r="U26" i="6"/>
  <c r="T26" i="6"/>
  <c r="R26" i="6"/>
  <c r="P26" i="6"/>
  <c r="N26" i="6"/>
  <c r="L26" i="6"/>
  <c r="J26" i="6"/>
  <c r="I26" i="6"/>
  <c r="H26" i="6"/>
  <c r="G26" i="6"/>
  <c r="F26" i="6"/>
  <c r="E26" i="6"/>
  <c r="C26" i="6"/>
  <c r="B26" i="6"/>
  <c r="AA25" i="6"/>
  <c r="Z25" i="6"/>
  <c r="V25" i="6"/>
  <c r="U25" i="6"/>
  <c r="T25" i="6"/>
  <c r="R25" i="6"/>
  <c r="P25" i="6"/>
  <c r="N25" i="6"/>
  <c r="L25" i="6"/>
  <c r="J25" i="6"/>
  <c r="I25" i="6"/>
  <c r="H25" i="6"/>
  <c r="G25" i="6"/>
  <c r="F25" i="6"/>
  <c r="E25" i="6"/>
  <c r="C25" i="6"/>
  <c r="B25" i="6"/>
  <c r="AA24" i="6"/>
  <c r="Z24" i="6"/>
  <c r="V24" i="6"/>
  <c r="U24" i="6"/>
  <c r="T24" i="6"/>
  <c r="R24" i="6"/>
  <c r="P24" i="6"/>
  <c r="N24" i="6"/>
  <c r="L24" i="6"/>
  <c r="J24" i="6"/>
  <c r="I24" i="6"/>
  <c r="H24" i="6"/>
  <c r="G24" i="6"/>
  <c r="F24" i="6"/>
  <c r="E24" i="6"/>
  <c r="C24" i="6"/>
  <c r="B24" i="6"/>
  <c r="AA23" i="6"/>
  <c r="Z23" i="6"/>
  <c r="V23" i="6"/>
  <c r="U23" i="6"/>
  <c r="T23" i="6"/>
  <c r="R23" i="6"/>
  <c r="P23" i="6"/>
  <c r="N23" i="6"/>
  <c r="L23" i="6"/>
  <c r="J23" i="6"/>
  <c r="I23" i="6"/>
  <c r="H23" i="6"/>
  <c r="G23" i="6"/>
  <c r="F23" i="6"/>
  <c r="E23" i="6"/>
  <c r="C23" i="6"/>
  <c r="B23" i="6"/>
  <c r="AA22" i="6"/>
  <c r="Z22" i="6"/>
  <c r="V22" i="6"/>
  <c r="U22" i="6"/>
  <c r="T22" i="6"/>
  <c r="R22" i="6"/>
  <c r="P22" i="6"/>
  <c r="N22" i="6"/>
  <c r="L22" i="6"/>
  <c r="J22" i="6"/>
  <c r="I22" i="6"/>
  <c r="H22" i="6"/>
  <c r="G22" i="6"/>
  <c r="F22" i="6"/>
  <c r="E22" i="6"/>
  <c r="C22" i="6"/>
  <c r="B22" i="6"/>
  <c r="AA21" i="6"/>
  <c r="Z21" i="6"/>
  <c r="V21" i="6"/>
  <c r="U21" i="6"/>
  <c r="T21" i="6"/>
  <c r="R21" i="6"/>
  <c r="P21" i="6"/>
  <c r="N21" i="6"/>
  <c r="L21" i="6"/>
  <c r="J21" i="6"/>
  <c r="I21" i="6"/>
  <c r="H21" i="6"/>
  <c r="G21" i="6"/>
  <c r="F21" i="6"/>
  <c r="E21" i="6"/>
  <c r="C21" i="6"/>
  <c r="B21" i="6"/>
  <c r="AA20" i="6"/>
  <c r="Z20" i="6"/>
  <c r="V20" i="6"/>
  <c r="U20" i="6"/>
  <c r="T20" i="6"/>
  <c r="R20" i="6"/>
  <c r="P20" i="6"/>
  <c r="N20" i="6"/>
  <c r="L20" i="6"/>
  <c r="J20" i="6"/>
  <c r="I20" i="6"/>
  <c r="H20" i="6"/>
  <c r="G20" i="6"/>
  <c r="F20" i="6"/>
  <c r="E20" i="6"/>
  <c r="C20" i="6"/>
  <c r="B20" i="6"/>
  <c r="AA19" i="6"/>
  <c r="Z19" i="6"/>
  <c r="V19" i="6"/>
  <c r="U19" i="6"/>
  <c r="T19" i="6"/>
  <c r="R19" i="6"/>
  <c r="P19" i="6"/>
  <c r="N19" i="6"/>
  <c r="L19" i="6"/>
  <c r="J19" i="6"/>
  <c r="I19" i="6"/>
  <c r="H19" i="6"/>
  <c r="G19" i="6"/>
  <c r="F19" i="6"/>
  <c r="E19" i="6"/>
  <c r="C19" i="6"/>
  <c r="B19" i="6"/>
  <c r="AA18" i="6"/>
  <c r="Z18" i="6"/>
  <c r="V18" i="6"/>
  <c r="U18" i="6"/>
  <c r="T18" i="6"/>
  <c r="R18" i="6"/>
  <c r="P18" i="6"/>
  <c r="N18" i="6"/>
  <c r="L18" i="6"/>
  <c r="J18" i="6"/>
  <c r="I18" i="6"/>
  <c r="H18" i="6"/>
  <c r="G18" i="6"/>
  <c r="F18" i="6"/>
  <c r="E18" i="6"/>
  <c r="C18" i="6"/>
  <c r="B18" i="6"/>
  <c r="AA17" i="6"/>
  <c r="Z17" i="6"/>
  <c r="V17" i="6"/>
  <c r="U17" i="6"/>
  <c r="T17" i="6"/>
  <c r="R17" i="6"/>
  <c r="P17" i="6"/>
  <c r="N17" i="6"/>
  <c r="L17" i="6"/>
  <c r="J17" i="6"/>
  <c r="I17" i="6"/>
  <c r="H17" i="6"/>
  <c r="G17" i="6"/>
  <c r="F17" i="6"/>
  <c r="E17" i="6"/>
  <c r="C17" i="6"/>
  <c r="B17" i="6"/>
  <c r="AA16" i="6"/>
  <c r="Z16" i="6"/>
  <c r="V16" i="6"/>
  <c r="U16" i="6"/>
  <c r="T16" i="6"/>
  <c r="R16" i="6"/>
  <c r="P16" i="6"/>
  <c r="N16" i="6"/>
  <c r="L16" i="6"/>
  <c r="J16" i="6"/>
  <c r="I16" i="6"/>
  <c r="H16" i="6"/>
  <c r="G16" i="6"/>
  <c r="F16" i="6"/>
  <c r="E16" i="6"/>
  <c r="C16" i="6"/>
  <c r="B16" i="6"/>
  <c r="AA15" i="6"/>
  <c r="Z15" i="6"/>
  <c r="V15" i="6"/>
  <c r="U15" i="6"/>
  <c r="T15" i="6"/>
  <c r="R15" i="6"/>
  <c r="P15" i="6"/>
  <c r="N15" i="6"/>
  <c r="L15" i="6"/>
  <c r="J15" i="6"/>
  <c r="I15" i="6"/>
  <c r="H15" i="6"/>
  <c r="G15" i="6"/>
  <c r="F15" i="6"/>
  <c r="E15" i="6"/>
  <c r="C15" i="6"/>
  <c r="B15" i="6"/>
  <c r="AA14" i="6"/>
  <c r="Z14" i="6"/>
  <c r="V14" i="6"/>
  <c r="U14" i="6"/>
  <c r="T14" i="6"/>
  <c r="R14" i="6"/>
  <c r="P14" i="6"/>
  <c r="N14" i="6"/>
  <c r="L14" i="6"/>
  <c r="J14" i="6"/>
  <c r="I14" i="6"/>
  <c r="H14" i="6"/>
  <c r="G14" i="6"/>
  <c r="F14" i="6"/>
  <c r="E14" i="6"/>
  <c r="C14" i="6"/>
  <c r="B14" i="6"/>
  <c r="AA13" i="6"/>
  <c r="Z13" i="6"/>
  <c r="V13" i="6"/>
  <c r="U13" i="6"/>
  <c r="T13" i="6"/>
  <c r="R13" i="6"/>
  <c r="P13" i="6"/>
  <c r="N13" i="6"/>
  <c r="L13" i="6"/>
  <c r="J13" i="6"/>
  <c r="I13" i="6"/>
  <c r="H13" i="6"/>
  <c r="G13" i="6"/>
  <c r="F13" i="6"/>
  <c r="E13" i="6"/>
  <c r="C13" i="6"/>
  <c r="B13" i="6"/>
  <c r="AA12" i="6"/>
  <c r="Z12" i="6"/>
  <c r="V12" i="6"/>
  <c r="U12" i="6"/>
  <c r="T12" i="6"/>
  <c r="R12" i="6"/>
  <c r="P12" i="6"/>
  <c r="N12" i="6"/>
  <c r="L12" i="6"/>
  <c r="J12" i="6"/>
  <c r="I12" i="6"/>
  <c r="H12" i="6"/>
  <c r="G12" i="6"/>
  <c r="F12" i="6"/>
  <c r="E12" i="6"/>
  <c r="C12" i="6"/>
  <c r="B12" i="6"/>
  <c r="AA11" i="6"/>
  <c r="Z11" i="6"/>
  <c r="V11" i="6"/>
  <c r="U11" i="6"/>
  <c r="T11" i="6"/>
  <c r="R11" i="6"/>
  <c r="P11" i="6"/>
  <c r="N11" i="6"/>
  <c r="L11" i="6"/>
  <c r="J11" i="6"/>
  <c r="I11" i="6"/>
  <c r="H11" i="6"/>
  <c r="G11" i="6"/>
  <c r="F11" i="6"/>
  <c r="E11" i="6"/>
  <c r="C11" i="6"/>
  <c r="B11" i="6"/>
  <c r="AA10" i="6"/>
  <c r="Z10" i="6"/>
  <c r="V10" i="6"/>
  <c r="U10" i="6"/>
  <c r="T10" i="6"/>
  <c r="R10" i="6"/>
  <c r="P10" i="6"/>
  <c r="N10" i="6"/>
  <c r="L10" i="6"/>
  <c r="J10" i="6"/>
  <c r="I10" i="6"/>
  <c r="H10" i="6"/>
  <c r="G10" i="6"/>
  <c r="F10" i="6"/>
  <c r="E10" i="6"/>
  <c r="C10" i="6"/>
  <c r="B10" i="6"/>
  <c r="AA9" i="6"/>
  <c r="Z9" i="6"/>
  <c r="V9" i="6"/>
  <c r="U9" i="6"/>
  <c r="T9" i="6"/>
  <c r="R9" i="6"/>
  <c r="P9" i="6"/>
  <c r="N9" i="6"/>
  <c r="L9" i="6"/>
  <c r="J9" i="6"/>
  <c r="I9" i="6"/>
  <c r="H9" i="6"/>
  <c r="G9" i="6"/>
  <c r="F9" i="6"/>
  <c r="E9" i="6"/>
  <c r="C9" i="6"/>
  <c r="B9" i="6"/>
  <c r="AA8" i="6"/>
  <c r="Z8" i="6"/>
  <c r="V8" i="6"/>
  <c r="U8" i="6"/>
  <c r="T8" i="6"/>
  <c r="R8" i="6"/>
  <c r="P8" i="6"/>
  <c r="N8" i="6"/>
  <c r="L8" i="6"/>
  <c r="J8" i="6"/>
  <c r="I8" i="6"/>
  <c r="H8" i="6"/>
  <c r="G8" i="6"/>
  <c r="F8" i="6"/>
  <c r="E8" i="6"/>
  <c r="C8" i="6"/>
  <c r="B8" i="6"/>
  <c r="AA7" i="6"/>
  <c r="Z7" i="6"/>
  <c r="V7" i="6"/>
  <c r="U7" i="6"/>
  <c r="T7" i="6"/>
  <c r="R7" i="6"/>
  <c r="P7" i="6"/>
  <c r="N7" i="6"/>
  <c r="L7" i="6"/>
  <c r="J7" i="6"/>
  <c r="I7" i="6"/>
  <c r="H7" i="6"/>
  <c r="G7" i="6"/>
  <c r="F7" i="6"/>
  <c r="E7" i="6"/>
  <c r="C7" i="6"/>
  <c r="B7" i="6"/>
  <c r="AA6" i="6"/>
  <c r="Z6" i="6"/>
  <c r="V6" i="6"/>
  <c r="U6" i="6"/>
  <c r="T6" i="6"/>
  <c r="R6" i="6"/>
  <c r="P6" i="6"/>
  <c r="N6" i="6"/>
  <c r="L6" i="6"/>
  <c r="J6" i="6"/>
  <c r="I6" i="6"/>
  <c r="H6" i="6"/>
  <c r="G6" i="6"/>
  <c r="F6" i="6"/>
  <c r="E6" i="6"/>
  <c r="C6" i="6"/>
  <c r="B6" i="6"/>
  <c r="AA5" i="6"/>
  <c r="Z5" i="6"/>
  <c r="V5" i="6"/>
  <c r="U5" i="6"/>
  <c r="T5" i="6"/>
  <c r="R5" i="6"/>
  <c r="P5" i="6"/>
  <c r="N5" i="6"/>
  <c r="L5" i="6"/>
  <c r="J5" i="6"/>
  <c r="I5" i="6"/>
  <c r="H5" i="6"/>
  <c r="G5" i="6"/>
  <c r="F5" i="6"/>
  <c r="E5" i="6"/>
  <c r="C5" i="6"/>
  <c r="B5" i="6"/>
  <c r="AA4" i="6"/>
  <c r="Z4" i="6"/>
  <c r="V4" i="6"/>
  <c r="U4" i="6"/>
  <c r="T4" i="6"/>
  <c r="R4" i="6"/>
  <c r="P4" i="6"/>
  <c r="N4" i="6"/>
  <c r="L4" i="6"/>
  <c r="J4" i="6"/>
  <c r="I4" i="6"/>
  <c r="H4" i="6"/>
  <c r="G4" i="6"/>
  <c r="F4" i="6"/>
  <c r="E4" i="6"/>
  <c r="C4" i="6"/>
  <c r="B4" i="6"/>
  <c r="U82" i="5"/>
  <c r="Q82" i="5"/>
  <c r="R82" i="5" s="1"/>
  <c r="O82" i="5"/>
  <c r="P82" i="5" s="1"/>
  <c r="U81" i="5"/>
  <c r="R81" i="5"/>
  <c r="Q81" i="5"/>
  <c r="P81" i="5"/>
  <c r="O81" i="5"/>
  <c r="U80" i="5"/>
  <c r="Q80" i="5"/>
  <c r="R80" i="5" s="1"/>
  <c r="P80" i="5"/>
  <c r="O80" i="5"/>
  <c r="U79" i="5"/>
  <c r="Q79" i="5"/>
  <c r="R79" i="5" s="1"/>
  <c r="O79" i="5"/>
  <c r="P79" i="5" s="1"/>
  <c r="U78" i="5"/>
  <c r="R78" i="5"/>
  <c r="Q78" i="5"/>
  <c r="O78" i="5"/>
  <c r="P78" i="5" s="1"/>
  <c r="U77" i="5"/>
  <c r="Q77" i="5"/>
  <c r="R77" i="5" s="1"/>
  <c r="O77" i="5"/>
  <c r="P77" i="5" s="1"/>
  <c r="U76" i="5"/>
  <c r="R76" i="5"/>
  <c r="Q76" i="5"/>
  <c r="P76" i="5"/>
  <c r="O76" i="5"/>
  <c r="U75" i="5"/>
  <c r="Q75" i="5"/>
  <c r="R75" i="5" s="1"/>
  <c r="O75" i="5"/>
  <c r="P75" i="5" s="1"/>
  <c r="U74" i="5"/>
  <c r="R74" i="5"/>
  <c r="Q74" i="5"/>
  <c r="O74" i="5"/>
  <c r="P74" i="5" s="1"/>
  <c r="U73" i="5"/>
  <c r="R73" i="5"/>
  <c r="Q73" i="5"/>
  <c r="O73" i="5"/>
  <c r="P73" i="5" s="1"/>
  <c r="U72" i="5"/>
  <c r="Q72" i="5"/>
  <c r="R72" i="5" s="1"/>
  <c r="P72" i="5"/>
  <c r="O72" i="5"/>
  <c r="U71" i="5"/>
  <c r="Q71" i="5"/>
  <c r="R71" i="5" s="1"/>
  <c r="O71" i="5"/>
  <c r="P71" i="5" s="1"/>
  <c r="U70" i="5"/>
  <c r="Q70" i="5"/>
  <c r="R70" i="5" s="1"/>
  <c r="O70" i="5"/>
  <c r="P70" i="5" s="1"/>
  <c r="U69" i="5"/>
  <c r="Q69" i="5"/>
  <c r="R69" i="5" s="1"/>
  <c r="O69" i="5"/>
  <c r="P69" i="5" s="1"/>
  <c r="U68" i="5"/>
  <c r="R68" i="5"/>
  <c r="Q68" i="5"/>
  <c r="O68" i="5"/>
  <c r="P68" i="5" s="1"/>
  <c r="U67" i="5"/>
  <c r="Q67" i="5"/>
  <c r="R67" i="5" s="1"/>
  <c r="P67" i="5"/>
  <c r="O67" i="5"/>
  <c r="U66" i="5"/>
  <c r="R66" i="5"/>
  <c r="Q66" i="5"/>
  <c r="O66" i="5"/>
  <c r="P66" i="5" s="1"/>
  <c r="U65" i="5"/>
  <c r="R65" i="5"/>
  <c r="Q65" i="5"/>
  <c r="P65" i="5"/>
  <c r="O65" i="5"/>
  <c r="U64" i="5"/>
  <c r="Q64" i="5"/>
  <c r="R64" i="5" s="1"/>
  <c r="P64" i="5"/>
  <c r="O64" i="5"/>
  <c r="U63" i="5"/>
  <c r="Q63" i="5"/>
  <c r="R63" i="5" s="1"/>
  <c r="O63" i="5"/>
  <c r="P63" i="5" s="1"/>
  <c r="U62" i="5"/>
  <c r="Q62" i="5"/>
  <c r="R62" i="5" s="1"/>
  <c r="O62" i="5"/>
  <c r="P62" i="5" s="1"/>
  <c r="U61" i="5"/>
  <c r="R61" i="5"/>
  <c r="Q61" i="5"/>
  <c r="P61" i="5"/>
  <c r="O61" i="5"/>
  <c r="U60" i="5"/>
  <c r="Q60" i="5"/>
  <c r="R60" i="5" s="1"/>
  <c r="O60" i="5"/>
  <c r="P60" i="5" s="1"/>
  <c r="U59" i="5"/>
  <c r="Q59" i="5"/>
  <c r="R59" i="5" s="1"/>
  <c r="O59" i="5"/>
  <c r="P59" i="5" s="1"/>
  <c r="U58" i="5"/>
  <c r="Q58" i="5"/>
  <c r="R58" i="5" s="1"/>
  <c r="P58" i="5"/>
  <c r="O58" i="5"/>
  <c r="U57" i="5"/>
  <c r="Q57" i="5"/>
  <c r="R57" i="5" s="1"/>
  <c r="O57" i="5"/>
  <c r="P57" i="5" s="1"/>
  <c r="U56" i="5"/>
  <c r="R56" i="5"/>
  <c r="Q56" i="5"/>
  <c r="P56" i="5"/>
  <c r="O56" i="5"/>
  <c r="U55" i="5"/>
  <c r="R55" i="5"/>
  <c r="Q55" i="5"/>
  <c r="O55" i="5"/>
  <c r="P55" i="5" s="1"/>
  <c r="U54" i="5"/>
  <c r="R54" i="5"/>
  <c r="Q54" i="5"/>
  <c r="P54" i="5"/>
  <c r="O54" i="5"/>
  <c r="U53" i="5"/>
  <c r="Q53" i="5"/>
  <c r="R53" i="5" s="1"/>
  <c r="O53" i="5"/>
  <c r="P53" i="5" s="1"/>
  <c r="U52" i="5"/>
  <c r="Q52" i="5"/>
  <c r="R52" i="5" s="1"/>
  <c r="P52" i="5"/>
  <c r="O52" i="5"/>
  <c r="U51" i="5"/>
  <c r="R51" i="5"/>
  <c r="Q51" i="5"/>
  <c r="P51" i="5"/>
  <c r="O51" i="5"/>
  <c r="U50" i="5"/>
  <c r="Q50" i="5"/>
  <c r="R50" i="5" s="1"/>
  <c r="O50" i="5"/>
  <c r="P50" i="5" s="1"/>
  <c r="U49" i="5"/>
  <c r="R49" i="5"/>
  <c r="Q49" i="5"/>
  <c r="P49" i="5"/>
  <c r="O49" i="5"/>
  <c r="U48" i="5"/>
  <c r="Q48" i="5"/>
  <c r="R48" i="5" s="1"/>
  <c r="O48" i="5"/>
  <c r="P48" i="5" s="1"/>
  <c r="U47" i="5"/>
  <c r="R47" i="5"/>
  <c r="Q47" i="5"/>
  <c r="P47" i="5"/>
  <c r="O47" i="5"/>
  <c r="U46" i="5"/>
  <c r="Q46" i="5"/>
  <c r="R46" i="5" s="1"/>
  <c r="P46" i="5"/>
  <c r="O46" i="5"/>
  <c r="U45" i="5"/>
  <c r="Q45" i="5"/>
  <c r="R45" i="5" s="1"/>
  <c r="O45" i="5"/>
  <c r="P45" i="5" s="1"/>
  <c r="U44" i="5"/>
  <c r="Q44" i="5"/>
  <c r="R44" i="5" s="1"/>
  <c r="O44" i="5"/>
  <c r="P44" i="5" s="1"/>
  <c r="U43" i="5"/>
  <c r="Q43" i="5"/>
  <c r="R43" i="5" s="1"/>
  <c r="P43" i="5"/>
  <c r="O43" i="5"/>
  <c r="U42" i="5"/>
  <c r="R42" i="5"/>
  <c r="Q42" i="5"/>
  <c r="P42" i="5"/>
  <c r="O42" i="5"/>
  <c r="U41" i="5"/>
  <c r="R41" i="5"/>
  <c r="Q41" i="5"/>
  <c r="P41" i="5"/>
  <c r="O41" i="5"/>
  <c r="U40" i="5"/>
  <c r="R40" i="5"/>
  <c r="Q40" i="5"/>
  <c r="O40" i="5"/>
  <c r="P40" i="5" s="1"/>
  <c r="U39" i="5"/>
  <c r="R39" i="5"/>
  <c r="Q39" i="5"/>
  <c r="P39" i="5"/>
  <c r="O39" i="5"/>
  <c r="U38" i="5"/>
  <c r="Q38" i="5"/>
  <c r="R38" i="5" s="1"/>
  <c r="P38" i="5"/>
  <c r="O38" i="5"/>
  <c r="U37" i="5"/>
  <c r="R37" i="5"/>
  <c r="Q37" i="5"/>
  <c r="P37" i="5"/>
  <c r="O37" i="5"/>
  <c r="U36" i="5"/>
  <c r="Q36" i="5"/>
  <c r="R36" i="5" s="1"/>
  <c r="P36" i="5"/>
  <c r="O36" i="5"/>
  <c r="U35" i="5"/>
  <c r="Q35" i="5"/>
  <c r="R35" i="5" s="1"/>
  <c r="O35" i="5"/>
  <c r="P35" i="5" s="1"/>
  <c r="U34" i="5"/>
  <c r="R34" i="5"/>
  <c r="Q34" i="5"/>
  <c r="P34" i="5"/>
  <c r="O34" i="5"/>
  <c r="U33" i="5"/>
  <c r="Q33" i="5"/>
  <c r="R33" i="5" s="1"/>
  <c r="O33" i="5"/>
  <c r="P33" i="5" s="1"/>
  <c r="U32" i="5"/>
  <c r="R32" i="5"/>
  <c r="Q32" i="5"/>
  <c r="P32" i="5"/>
  <c r="O32" i="5"/>
  <c r="U31" i="5"/>
  <c r="Q31" i="5"/>
  <c r="R31" i="5" s="1"/>
  <c r="P31" i="5"/>
  <c r="O31" i="5"/>
  <c r="U30" i="5"/>
  <c r="Q30" i="5"/>
  <c r="R30" i="5" s="1"/>
  <c r="O30" i="5"/>
  <c r="P30" i="5" s="1"/>
  <c r="U29" i="5"/>
  <c r="R29" i="5"/>
  <c r="Q29" i="5"/>
  <c r="O29" i="5"/>
  <c r="P29" i="5" s="1"/>
  <c r="U28" i="5"/>
  <c r="R28" i="5"/>
  <c r="Q28" i="5"/>
  <c r="O28" i="5"/>
  <c r="P28" i="5" s="1"/>
  <c r="U27" i="5"/>
  <c r="Q27" i="5"/>
  <c r="R27" i="5" s="1"/>
  <c r="P27" i="5"/>
  <c r="O27" i="5"/>
  <c r="U26" i="5"/>
  <c r="Q26" i="5"/>
  <c r="R26" i="5" s="1"/>
  <c r="P26" i="5"/>
  <c r="O26" i="5"/>
  <c r="U25" i="5"/>
  <c r="Q25" i="5"/>
  <c r="R25" i="5" s="1"/>
  <c r="O25" i="5"/>
  <c r="P25" i="5" s="1"/>
  <c r="U24" i="5"/>
  <c r="R24" i="5"/>
  <c r="Q24" i="5"/>
  <c r="O24" i="5"/>
  <c r="P24" i="5" s="1"/>
  <c r="U23" i="5"/>
  <c r="Q23" i="5"/>
  <c r="R23" i="5" s="1"/>
  <c r="O23" i="5"/>
  <c r="P23" i="5" s="1"/>
  <c r="U22" i="5"/>
  <c r="R22" i="5"/>
  <c r="Q22" i="5"/>
  <c r="P22" i="5"/>
  <c r="O22" i="5"/>
  <c r="U21" i="5"/>
  <c r="R21" i="5"/>
  <c r="Q21" i="5"/>
  <c r="P21" i="5"/>
  <c r="O21" i="5"/>
  <c r="U20" i="5"/>
  <c r="Q20" i="5"/>
  <c r="R20" i="5" s="1"/>
  <c r="O20" i="5"/>
  <c r="P20" i="5" s="1"/>
  <c r="U19" i="5"/>
  <c r="R19" i="5"/>
  <c r="Q19" i="5"/>
  <c r="O19" i="5"/>
  <c r="P19" i="5" s="1"/>
  <c r="U18" i="5"/>
  <c r="R18" i="5"/>
  <c r="Q18" i="5"/>
  <c r="O18" i="5"/>
  <c r="P18" i="5" s="1"/>
  <c r="U17" i="5"/>
  <c r="Q17" i="5"/>
  <c r="R17" i="5" s="1"/>
  <c r="P17" i="5"/>
  <c r="O17" i="5"/>
  <c r="U16" i="5"/>
  <c r="Q16" i="5"/>
  <c r="R16" i="5" s="1"/>
  <c r="P16" i="5"/>
  <c r="O16" i="5"/>
  <c r="U15" i="5"/>
  <c r="Q15" i="5"/>
  <c r="R15" i="5" s="1"/>
  <c r="O15" i="5"/>
  <c r="P15" i="5" s="1"/>
  <c r="U14" i="5"/>
  <c r="R14" i="5"/>
  <c r="Q14" i="5"/>
  <c r="P14" i="5"/>
  <c r="O14" i="5"/>
  <c r="U13" i="5"/>
  <c r="Q13" i="5"/>
  <c r="R13" i="5" s="1"/>
  <c r="O13" i="5"/>
  <c r="P13" i="5" s="1"/>
  <c r="U12" i="5"/>
  <c r="Q12" i="5"/>
  <c r="R12" i="5" s="1"/>
  <c r="O12" i="5"/>
  <c r="P12" i="5" s="1"/>
  <c r="U11" i="5"/>
  <c r="Q11" i="5"/>
  <c r="R11" i="5" s="1"/>
  <c r="P11" i="5"/>
  <c r="O11" i="5"/>
  <c r="U10" i="5"/>
  <c r="Q10" i="5"/>
  <c r="R10" i="5" s="1"/>
  <c r="O10" i="5"/>
  <c r="P10" i="5" s="1"/>
  <c r="U9" i="5"/>
  <c r="Q9" i="5"/>
  <c r="R9" i="5" s="1"/>
  <c r="P9" i="5"/>
  <c r="O9" i="5"/>
  <c r="U8" i="5"/>
  <c r="Q8" i="5"/>
  <c r="R8" i="5" s="1"/>
  <c r="P8" i="5"/>
  <c r="O8" i="5"/>
  <c r="U7" i="5"/>
  <c r="Q7" i="5"/>
  <c r="R7" i="5" s="1"/>
  <c r="P7" i="5"/>
  <c r="O7" i="5"/>
  <c r="U6" i="5"/>
  <c r="Q6" i="5"/>
  <c r="R6" i="5" s="1"/>
  <c r="O6" i="5"/>
  <c r="P6" i="5" s="1"/>
  <c r="U5" i="5"/>
  <c r="Q5" i="5"/>
  <c r="R5" i="5" s="1"/>
  <c r="P5" i="5"/>
  <c r="O5" i="5"/>
  <c r="U4" i="5"/>
  <c r="R4" i="5"/>
  <c r="Q4" i="5"/>
  <c r="P4" i="5"/>
  <c r="O4" i="5"/>
  <c r="U3" i="5"/>
  <c r="Q3" i="5"/>
  <c r="R3" i="5" s="1"/>
  <c r="O3" i="5"/>
  <c r="P3" i="5" s="1"/>
  <c r="AI82" i="2"/>
  <c r="AI81" i="2"/>
  <c r="AI80" i="2"/>
  <c r="AI79" i="2"/>
  <c r="D79" i="2"/>
  <c r="AI78" i="2"/>
  <c r="AI77" i="2"/>
  <c r="AI76" i="2"/>
  <c r="D76" i="2"/>
  <c r="AI75" i="2"/>
  <c r="AI74" i="2"/>
  <c r="AI73" i="2"/>
  <c r="AI72" i="2"/>
  <c r="AI71" i="2"/>
  <c r="AI70" i="2"/>
  <c r="AI69" i="2"/>
  <c r="AI68" i="2"/>
  <c r="AI67" i="2"/>
  <c r="D67" i="2"/>
  <c r="AI66" i="2"/>
  <c r="AI65" i="2"/>
  <c r="D65" i="2"/>
  <c r="B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C46" i="2"/>
  <c r="C66" i="2" s="1"/>
  <c r="B46" i="2"/>
  <c r="AI45" i="2"/>
  <c r="AI44" i="2"/>
  <c r="AI43" i="2"/>
  <c r="AI42" i="2"/>
  <c r="D42" i="2"/>
  <c r="D62" i="2" s="1"/>
  <c r="C42" i="2"/>
  <c r="C62" i="2" s="1"/>
  <c r="B42" i="2"/>
  <c r="B62" i="2" s="1"/>
  <c r="AI41" i="2"/>
  <c r="D41" i="2"/>
  <c r="D61" i="2" s="1"/>
  <c r="C41" i="2"/>
  <c r="B41" i="2"/>
  <c r="B61" i="2" s="1"/>
  <c r="AI40" i="2"/>
  <c r="D40" i="2"/>
  <c r="C40" i="2"/>
  <c r="B40" i="2"/>
  <c r="AI39" i="2"/>
  <c r="D39" i="2"/>
  <c r="C39" i="2"/>
  <c r="B39" i="2"/>
  <c r="B59" i="2" s="1"/>
  <c r="AI38" i="2"/>
  <c r="D38" i="2"/>
  <c r="C38" i="2"/>
  <c r="C58" i="2" s="1"/>
  <c r="B38" i="2"/>
  <c r="E38" i="2" s="1"/>
  <c r="AI37" i="2"/>
  <c r="D37" i="2"/>
  <c r="D57" i="2" s="1"/>
  <c r="C37" i="2"/>
  <c r="C57" i="2" s="1"/>
  <c r="C77" i="2" s="1"/>
  <c r="B37" i="2"/>
  <c r="B57" i="2" s="1"/>
  <c r="AI36" i="2"/>
  <c r="D36" i="2"/>
  <c r="C36" i="2"/>
  <c r="B36" i="2"/>
  <c r="AI35" i="2"/>
  <c r="D35" i="2"/>
  <c r="D55" i="2" s="1"/>
  <c r="C35" i="2"/>
  <c r="B35" i="2"/>
  <c r="AI34" i="2"/>
  <c r="D34" i="2"/>
  <c r="C34" i="2"/>
  <c r="C54" i="2" s="1"/>
  <c r="B34" i="2"/>
  <c r="B54" i="2" s="1"/>
  <c r="AI33" i="2"/>
  <c r="D33" i="2"/>
  <c r="D53" i="2" s="1"/>
  <c r="C33" i="2"/>
  <c r="C53" i="2" s="1"/>
  <c r="C73" i="2" s="1"/>
  <c r="B33" i="2"/>
  <c r="AI32" i="2"/>
  <c r="D32" i="2"/>
  <c r="D52" i="2" s="1"/>
  <c r="C32" i="2"/>
  <c r="C52" i="2" s="1"/>
  <c r="B32" i="2"/>
  <c r="AI31" i="2"/>
  <c r="D31" i="2"/>
  <c r="D51" i="2" s="1"/>
  <c r="C31" i="2"/>
  <c r="B31" i="2"/>
  <c r="B51" i="2" s="1"/>
  <c r="AI30" i="2"/>
  <c r="D30" i="2"/>
  <c r="D50" i="2" s="1"/>
  <c r="C30" i="2"/>
  <c r="B30" i="2"/>
  <c r="AI29" i="2"/>
  <c r="D29" i="2"/>
  <c r="C29" i="2"/>
  <c r="B29" i="2"/>
  <c r="B49" i="2" s="1"/>
  <c r="AI28" i="2"/>
  <c r="D28" i="2"/>
  <c r="D48" i="2" s="1"/>
  <c r="C28" i="2"/>
  <c r="C48" i="2" s="1"/>
  <c r="C68" i="2" s="1"/>
  <c r="B28" i="2"/>
  <c r="AI27" i="2"/>
  <c r="D27" i="2"/>
  <c r="D47" i="2" s="1"/>
  <c r="C27" i="2"/>
  <c r="C47" i="2" s="1"/>
  <c r="B27" i="2"/>
  <c r="AI26" i="2"/>
  <c r="D26" i="2"/>
  <c r="C26" i="2"/>
  <c r="B26" i="2"/>
  <c r="Y26" i="2" s="1"/>
  <c r="AI25" i="2"/>
  <c r="D25" i="2"/>
  <c r="C25" i="2"/>
  <c r="B25" i="2"/>
  <c r="B45" i="2" s="1"/>
  <c r="AI24" i="2"/>
  <c r="D24" i="2"/>
  <c r="D44" i="2" s="1"/>
  <c r="C24" i="2"/>
  <c r="C44" i="2" s="1"/>
  <c r="B24" i="2"/>
  <c r="AI23" i="2"/>
  <c r="D23" i="2"/>
  <c r="D43" i="2" s="1"/>
  <c r="C23" i="2"/>
  <c r="B23" i="2"/>
  <c r="B43" i="2" s="1"/>
  <c r="AI22" i="2"/>
  <c r="D22" i="2"/>
  <c r="C22" i="2"/>
  <c r="B22" i="2"/>
  <c r="AI21" i="2"/>
  <c r="D21" i="2"/>
  <c r="D81" i="2" s="1"/>
  <c r="C21" i="2"/>
  <c r="B21" i="2"/>
  <c r="AI20" i="2"/>
  <c r="D20" i="2"/>
  <c r="D80" i="2" s="1"/>
  <c r="C20" i="2"/>
  <c r="B20" i="2"/>
  <c r="Y20" i="2" s="1"/>
  <c r="AI19" i="2"/>
  <c r="D19" i="2"/>
  <c r="C19" i="2"/>
  <c r="B19" i="2"/>
  <c r="E19" i="2" s="1"/>
  <c r="AI18" i="2"/>
  <c r="D18" i="2"/>
  <c r="D78" i="2" s="1"/>
  <c r="C18" i="2"/>
  <c r="B18" i="2"/>
  <c r="AI17" i="2"/>
  <c r="D17" i="2"/>
  <c r="C17" i="2"/>
  <c r="X17" i="2" s="1"/>
  <c r="B17" i="2"/>
  <c r="AI16" i="2"/>
  <c r="D16" i="2"/>
  <c r="C16" i="2"/>
  <c r="B16" i="2"/>
  <c r="AI15" i="2"/>
  <c r="D15" i="2"/>
  <c r="C15" i="2"/>
  <c r="B15" i="2"/>
  <c r="Y15" i="2" s="1"/>
  <c r="AI14" i="2"/>
  <c r="D14" i="2"/>
  <c r="D74" i="2" s="1"/>
  <c r="C14" i="2"/>
  <c r="B14" i="2"/>
  <c r="AI13" i="2"/>
  <c r="D13" i="2"/>
  <c r="C13" i="2"/>
  <c r="B13" i="2"/>
  <c r="AI12" i="2"/>
  <c r="D12" i="2"/>
  <c r="C12" i="2"/>
  <c r="B12" i="2"/>
  <c r="AI11" i="2"/>
  <c r="D11" i="2"/>
  <c r="D71" i="2" s="1"/>
  <c r="C11" i="2"/>
  <c r="B11" i="2"/>
  <c r="Y11" i="2" s="1"/>
  <c r="AI10" i="2"/>
  <c r="D10" i="2"/>
  <c r="C10" i="2"/>
  <c r="B10" i="2"/>
  <c r="AI9" i="2"/>
  <c r="D9" i="2"/>
  <c r="C9" i="2"/>
  <c r="B9" i="2"/>
  <c r="Y9" i="2" s="1"/>
  <c r="AI8" i="2"/>
  <c r="D8" i="2"/>
  <c r="D68" i="2" s="1"/>
  <c r="C8" i="2"/>
  <c r="X8" i="2" s="1"/>
  <c r="Z8" i="2" s="1"/>
  <c r="AA8" i="2" s="1"/>
  <c r="B8" i="2"/>
  <c r="AI7" i="2"/>
  <c r="D7" i="2"/>
  <c r="C7" i="2"/>
  <c r="B7" i="2"/>
  <c r="AI6" i="2"/>
  <c r="D6" i="2"/>
  <c r="C6" i="2"/>
  <c r="B6" i="2"/>
  <c r="Y6" i="2" s="1"/>
  <c r="AI5" i="2"/>
  <c r="D5" i="2"/>
  <c r="C5" i="2"/>
  <c r="B5" i="2"/>
  <c r="AI4" i="2"/>
  <c r="D4" i="2"/>
  <c r="D64" i="2" s="1"/>
  <c r="C4" i="2"/>
  <c r="B4" i="2"/>
  <c r="Y4" i="2" s="1"/>
  <c r="AI3" i="2"/>
  <c r="AE3" i="2"/>
  <c r="D3" i="2"/>
  <c r="D63" i="2" s="1"/>
  <c r="C3" i="2"/>
  <c r="B3" i="2"/>
  <c r="Y3" i="2" s="1"/>
  <c r="L82" i="1"/>
  <c r="I82" i="1"/>
  <c r="F82" i="1"/>
  <c r="L81" i="1"/>
  <c r="I81" i="1"/>
  <c r="F81" i="1"/>
  <c r="I80" i="1"/>
  <c r="L80" i="1" s="1"/>
  <c r="F80" i="1"/>
  <c r="L79" i="1"/>
  <c r="I79" i="1"/>
  <c r="F79" i="1"/>
  <c r="I78" i="1"/>
  <c r="L78" i="1" s="1"/>
  <c r="F78" i="1"/>
  <c r="L77" i="1"/>
  <c r="I77" i="1"/>
  <c r="F77" i="1"/>
  <c r="I76" i="1"/>
  <c r="L76" i="1" s="1"/>
  <c r="F76" i="1"/>
  <c r="I75" i="1"/>
  <c r="L75" i="1" s="1"/>
  <c r="F75" i="1"/>
  <c r="I74" i="1"/>
  <c r="L74" i="1" s="1"/>
  <c r="F74" i="1"/>
  <c r="L73" i="1"/>
  <c r="I73" i="1"/>
  <c r="F73" i="1"/>
  <c r="I72" i="1"/>
  <c r="L72" i="1" s="1"/>
  <c r="F72" i="1"/>
  <c r="L71" i="1"/>
  <c r="I71" i="1"/>
  <c r="F71" i="1"/>
  <c r="I70" i="1"/>
  <c r="L70" i="1" s="1"/>
  <c r="F70" i="1"/>
  <c r="L69" i="1"/>
  <c r="I69" i="1"/>
  <c r="F69" i="1"/>
  <c r="L68" i="1"/>
  <c r="I68" i="1"/>
  <c r="F68" i="1"/>
  <c r="I67" i="1"/>
  <c r="L67" i="1" s="1"/>
  <c r="F67" i="1"/>
  <c r="I66" i="1"/>
  <c r="L66" i="1" s="1"/>
  <c r="F66" i="1"/>
  <c r="I65" i="1"/>
  <c r="L65" i="1" s="1"/>
  <c r="F65" i="1"/>
  <c r="I64" i="1"/>
  <c r="L64" i="1" s="1"/>
  <c r="F64" i="1"/>
  <c r="L63" i="1"/>
  <c r="I63" i="1"/>
  <c r="F63" i="1"/>
  <c r="L62" i="1"/>
  <c r="I62" i="1"/>
  <c r="F62" i="1"/>
  <c r="I61" i="1"/>
  <c r="L61" i="1" s="1"/>
  <c r="F61" i="1"/>
  <c r="I60" i="1"/>
  <c r="L60" i="1" s="1"/>
  <c r="F60" i="1"/>
  <c r="I59" i="1"/>
  <c r="L59" i="1" s="1"/>
  <c r="F59" i="1"/>
  <c r="I58" i="1"/>
  <c r="L58" i="1" s="1"/>
  <c r="F58" i="1"/>
  <c r="L57" i="1"/>
  <c r="I57" i="1"/>
  <c r="F57" i="1"/>
  <c r="I56" i="1"/>
  <c r="L56" i="1" s="1"/>
  <c r="F56" i="1"/>
  <c r="L55" i="1"/>
  <c r="I55" i="1"/>
  <c r="F55" i="1"/>
  <c r="I54" i="1"/>
  <c r="L54" i="1" s="1"/>
  <c r="F54" i="1"/>
  <c r="I53" i="1"/>
  <c r="L53" i="1" s="1"/>
  <c r="F53" i="1"/>
  <c r="I52" i="1"/>
  <c r="L52" i="1" s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I46" i="1"/>
  <c r="L46" i="1" s="1"/>
  <c r="F46" i="1"/>
  <c r="L45" i="1"/>
  <c r="I45" i="1"/>
  <c r="F45" i="1"/>
  <c r="I44" i="1"/>
  <c r="L44" i="1" s="1"/>
  <c r="F44" i="1"/>
  <c r="I43" i="1"/>
  <c r="L43" i="1" s="1"/>
  <c r="F43" i="1"/>
  <c r="L42" i="1"/>
  <c r="I42" i="1"/>
  <c r="F42" i="1"/>
  <c r="L41" i="1"/>
  <c r="I41" i="1"/>
  <c r="F41" i="1"/>
  <c r="L40" i="1"/>
  <c r="I40" i="1"/>
  <c r="F40" i="1"/>
  <c r="I39" i="1"/>
  <c r="L39" i="1" s="1"/>
  <c r="F39" i="1"/>
  <c r="I38" i="1"/>
  <c r="L38" i="1" s="1"/>
  <c r="F38" i="1"/>
  <c r="L37" i="1"/>
  <c r="I37" i="1"/>
  <c r="F37" i="1"/>
  <c r="L36" i="1"/>
  <c r="I36" i="1"/>
  <c r="F36" i="1"/>
  <c r="I35" i="1"/>
  <c r="L35" i="1" s="1"/>
  <c r="F35" i="1"/>
  <c r="I34" i="1"/>
  <c r="L34" i="1" s="1"/>
  <c r="F34" i="1"/>
  <c r="I33" i="1"/>
  <c r="L33" i="1" s="1"/>
  <c r="F33" i="1"/>
  <c r="I32" i="1"/>
  <c r="L32" i="1" s="1"/>
  <c r="F32" i="1"/>
  <c r="I31" i="1"/>
  <c r="L31" i="1" s="1"/>
  <c r="F31" i="1"/>
  <c r="I30" i="1"/>
  <c r="L30" i="1" s="1"/>
  <c r="F30" i="1"/>
  <c r="L29" i="1"/>
  <c r="I29" i="1"/>
  <c r="F29" i="1"/>
  <c r="I28" i="1"/>
  <c r="L28" i="1" s="1"/>
  <c r="F28" i="1"/>
  <c r="I27" i="1"/>
  <c r="L27" i="1" s="1"/>
  <c r="F27" i="1"/>
  <c r="I26" i="1"/>
  <c r="L26" i="1" s="1"/>
  <c r="F26" i="1"/>
  <c r="L25" i="1"/>
  <c r="I25" i="1"/>
  <c r="F25" i="1"/>
  <c r="L24" i="1"/>
  <c r="I24" i="1"/>
  <c r="F24" i="1"/>
  <c r="I23" i="1"/>
  <c r="L23" i="1" s="1"/>
  <c r="F23" i="1"/>
  <c r="I22" i="1"/>
  <c r="L22" i="1" s="1"/>
  <c r="F22" i="1"/>
  <c r="I21" i="1"/>
  <c r="L21" i="1" s="1"/>
  <c r="F21" i="1"/>
  <c r="L20" i="1"/>
  <c r="I20" i="1"/>
  <c r="F20" i="1"/>
  <c r="L19" i="1"/>
  <c r="I19" i="1"/>
  <c r="F19" i="1"/>
  <c r="I18" i="1"/>
  <c r="L18" i="1" s="1"/>
  <c r="F18" i="1"/>
  <c r="L17" i="1"/>
  <c r="I17" i="1"/>
  <c r="F17" i="1"/>
  <c r="I16" i="1"/>
  <c r="L16" i="1" s="1"/>
  <c r="F16" i="1"/>
  <c r="I15" i="1"/>
  <c r="L15" i="1" s="1"/>
  <c r="F15" i="1"/>
  <c r="I14" i="1"/>
  <c r="L14" i="1" s="1"/>
  <c r="F14" i="1"/>
  <c r="I13" i="1"/>
  <c r="L13" i="1" s="1"/>
  <c r="F13" i="1"/>
  <c r="I12" i="1"/>
  <c r="L12" i="1" s="1"/>
  <c r="F12" i="1"/>
  <c r="I11" i="1"/>
  <c r="L11" i="1" s="1"/>
  <c r="F11" i="1"/>
  <c r="I10" i="1"/>
  <c r="L10" i="1" s="1"/>
  <c r="F10" i="1"/>
  <c r="L9" i="1"/>
  <c r="I9" i="1"/>
  <c r="F9" i="1"/>
  <c r="I8" i="1"/>
  <c r="L8" i="1" s="1"/>
  <c r="F8" i="1"/>
  <c r="I7" i="1"/>
  <c r="L7" i="1" s="1"/>
  <c r="F7" i="1"/>
  <c r="L6" i="1"/>
  <c r="I6" i="1"/>
  <c r="F6" i="1"/>
  <c r="I5" i="1"/>
  <c r="L5" i="1" s="1"/>
  <c r="F5" i="1"/>
  <c r="L4" i="1"/>
  <c r="I4" i="1"/>
  <c r="F4" i="1"/>
  <c r="L3" i="1"/>
  <c r="I3" i="1"/>
  <c r="F3" i="1"/>
  <c r="M71" i="2" l="1"/>
  <c r="M63" i="2"/>
  <c r="M51" i="2"/>
  <c r="M20" i="2"/>
  <c r="N11" i="2"/>
  <c r="M18" i="2"/>
  <c r="N31" i="2"/>
  <c r="M78" i="2"/>
  <c r="M5" i="2"/>
  <c r="M25" i="2"/>
  <c r="N38" i="2"/>
  <c r="M45" i="2"/>
  <c r="N58" i="2"/>
  <c r="M65" i="2"/>
  <c r="M12" i="2"/>
  <c r="M32" i="2"/>
  <c r="M52" i="2"/>
  <c r="M72" i="2"/>
  <c r="M19" i="2"/>
  <c r="M39" i="2"/>
  <c r="M59" i="2"/>
  <c r="M79" i="2"/>
  <c r="M7" i="2"/>
  <c r="M27" i="2"/>
  <c r="N40" i="2"/>
  <c r="M47" i="2"/>
  <c r="N60" i="2"/>
  <c r="M67" i="2"/>
  <c r="N80" i="2"/>
  <c r="M14" i="2"/>
  <c r="M34" i="2"/>
  <c r="M54" i="2"/>
  <c r="M74" i="2"/>
  <c r="M21" i="2"/>
  <c r="M41" i="2"/>
  <c r="M81" i="2"/>
  <c r="M8" i="2"/>
  <c r="M28" i="2"/>
  <c r="M48" i="2"/>
  <c r="M68" i="2"/>
  <c r="M15" i="2"/>
  <c r="M35" i="2"/>
  <c r="M55" i="2"/>
  <c r="M75" i="2"/>
  <c r="M22" i="2"/>
  <c r="M42" i="2"/>
  <c r="M62" i="2"/>
  <c r="M82" i="2"/>
  <c r="X16" i="2"/>
  <c r="Z16" i="2" s="1"/>
  <c r="AB16" i="2" s="1"/>
  <c r="X21" i="2"/>
  <c r="Z21" i="2" s="1"/>
  <c r="AB21" i="2" s="1"/>
  <c r="Y21" i="2"/>
  <c r="X22" i="2"/>
  <c r="Y27" i="2"/>
  <c r="E32" i="2"/>
  <c r="B32" i="1" s="1"/>
  <c r="S4" i="2"/>
  <c r="T4" i="2" s="1"/>
  <c r="C4" i="5" s="1"/>
  <c r="S14" i="2"/>
  <c r="T14" i="2" s="1"/>
  <c r="C14" i="5" s="1"/>
  <c r="S3" i="2"/>
  <c r="T3" i="2" s="1"/>
  <c r="C3" i="5" s="1"/>
  <c r="S37" i="2"/>
  <c r="T37" i="2" s="1"/>
  <c r="C37" i="5" s="1"/>
  <c r="X37" i="2"/>
  <c r="E24" i="2"/>
  <c r="U24" i="2" s="1"/>
  <c r="V24" i="2" s="1"/>
  <c r="D24" i="5" s="1"/>
  <c r="Y37" i="2"/>
  <c r="X15" i="2"/>
  <c r="Z15" i="2" s="1"/>
  <c r="AB15" i="2" s="1"/>
  <c r="S24" i="2"/>
  <c r="T24" i="2" s="1"/>
  <c r="C24" i="5" s="1"/>
  <c r="B44" i="2"/>
  <c r="B64" i="2" s="1"/>
  <c r="X3" i="2"/>
  <c r="Z3" i="2" s="1"/>
  <c r="AB3" i="2" s="1"/>
  <c r="S26" i="2"/>
  <c r="T26" i="2" s="1"/>
  <c r="C26" i="5" s="1"/>
  <c r="F31" i="2"/>
  <c r="S36" i="2"/>
  <c r="T36" i="2" s="1"/>
  <c r="C36" i="5" s="1"/>
  <c r="X4" i="2"/>
  <c r="Z4" i="2" s="1"/>
  <c r="S9" i="2"/>
  <c r="T9" i="2" s="1"/>
  <c r="C9" i="5" s="1"/>
  <c r="S5" i="2"/>
  <c r="T5" i="2" s="1"/>
  <c r="C5" i="5" s="1"/>
  <c r="S23" i="2"/>
  <c r="T23" i="2" s="1"/>
  <c r="C23" i="5" s="1"/>
  <c r="Y41" i="2"/>
  <c r="S20" i="2"/>
  <c r="T20" i="2" s="1"/>
  <c r="C20" i="5" s="1"/>
  <c r="F24" i="2"/>
  <c r="C56" i="2"/>
  <c r="C76" i="2" s="1"/>
  <c r="F12" i="2"/>
  <c r="S21" i="2"/>
  <c r="T21" i="2" s="1"/>
  <c r="C21" i="5" s="1"/>
  <c r="S25" i="2"/>
  <c r="T25" i="2" s="1"/>
  <c r="C25" i="5" s="1"/>
  <c r="Y39" i="2"/>
  <c r="Y62" i="2"/>
  <c r="E62" i="2"/>
  <c r="U62" i="2" s="1"/>
  <c r="V62" i="2" s="1"/>
  <c r="D62" i="5" s="1"/>
  <c r="E37" i="2"/>
  <c r="B37" i="1" s="1"/>
  <c r="E22" i="2"/>
  <c r="U22" i="2" s="1"/>
  <c r="V22" i="2" s="1"/>
  <c r="D22" i="5" s="1"/>
  <c r="F37" i="2"/>
  <c r="F34" i="2"/>
  <c r="F44" i="2"/>
  <c r="F9" i="2"/>
  <c r="X28" i="2"/>
  <c r="Z28" i="2" s="1"/>
  <c r="AA28" i="2" s="1"/>
  <c r="F32" i="2"/>
  <c r="E20" i="2"/>
  <c r="U20" i="2" s="1"/>
  <c r="V20" i="2" s="1"/>
  <c r="D20" i="5" s="1"/>
  <c r="Y28" i="2"/>
  <c r="S32" i="2"/>
  <c r="T32" i="2" s="1"/>
  <c r="C32" i="5" s="1"/>
  <c r="S46" i="2"/>
  <c r="T46" i="2" s="1"/>
  <c r="C46" i="5" s="1"/>
  <c r="X9" i="2"/>
  <c r="Z9" i="2" s="1"/>
  <c r="F20" i="2"/>
  <c r="E23" i="2"/>
  <c r="B23" i="1" s="1"/>
  <c r="U32" i="2"/>
  <c r="V32" i="2" s="1"/>
  <c r="D32" i="5" s="1"/>
  <c r="E42" i="2"/>
  <c r="F3" i="2"/>
  <c r="E26" i="2"/>
  <c r="F42" i="2"/>
  <c r="C59" i="2"/>
  <c r="S59" i="2" s="1"/>
  <c r="T59" i="2" s="1"/>
  <c r="C59" i="5" s="1"/>
  <c r="S17" i="2"/>
  <c r="T17" i="2" s="1"/>
  <c r="C17" i="5" s="1"/>
  <c r="X20" i="2"/>
  <c r="Z20" i="2" s="1"/>
  <c r="X32" i="2"/>
  <c r="Z32" i="2" s="1"/>
  <c r="AB32" i="2" s="1"/>
  <c r="S42" i="2"/>
  <c r="T42" i="2" s="1"/>
  <c r="C42" i="5" s="1"/>
  <c r="F14" i="2"/>
  <c r="X26" i="2"/>
  <c r="Z26" i="2" s="1"/>
  <c r="AB26" i="2" s="1"/>
  <c r="E39" i="2"/>
  <c r="B39" i="1" s="1"/>
  <c r="X42" i="2"/>
  <c r="Z42" i="2" s="1"/>
  <c r="X23" i="2"/>
  <c r="Z23" i="2" s="1"/>
  <c r="AA23" i="2" s="1"/>
  <c r="S34" i="2"/>
  <c r="T34" i="2" s="1"/>
  <c r="C34" i="5" s="1"/>
  <c r="Z37" i="2"/>
  <c r="AB37" i="2" s="1"/>
  <c r="F16" i="2"/>
  <c r="Z22" i="2"/>
  <c r="AB22" i="2" s="1"/>
  <c r="X34" i="2"/>
  <c r="Z34" i="2" s="1"/>
  <c r="F28" i="2"/>
  <c r="Y34" i="2"/>
  <c r="F5" i="2"/>
  <c r="S16" i="2"/>
  <c r="T16" i="2" s="1"/>
  <c r="C16" i="5" s="1"/>
  <c r="S28" i="2"/>
  <c r="T28" i="2" s="1"/>
  <c r="C28" i="5" s="1"/>
  <c r="Y32" i="2"/>
  <c r="Z17" i="2"/>
  <c r="Y23" i="2"/>
  <c r="F36" i="2"/>
  <c r="Y42" i="2"/>
  <c r="E21" i="2"/>
  <c r="U21" i="2" s="1"/>
  <c r="V21" i="2" s="1"/>
  <c r="D21" i="5" s="1"/>
  <c r="B52" i="2"/>
  <c r="B72" i="2" s="1"/>
  <c r="D72" i="2"/>
  <c r="C74" i="2"/>
  <c r="S54" i="2"/>
  <c r="T54" i="2" s="1"/>
  <c r="C54" i="5" s="1"/>
  <c r="D59" i="2"/>
  <c r="F39" i="2"/>
  <c r="AA16" i="2"/>
  <c r="S13" i="2"/>
  <c r="T13" i="2" s="1"/>
  <c r="C13" i="5" s="1"/>
  <c r="E13" i="2"/>
  <c r="U13" i="2"/>
  <c r="V13" i="2" s="1"/>
  <c r="D13" i="5" s="1"/>
  <c r="D73" i="2"/>
  <c r="F30" i="2"/>
  <c r="S30" i="2"/>
  <c r="T30" i="2" s="1"/>
  <c r="C30" i="5" s="1"/>
  <c r="C50" i="2"/>
  <c r="B79" i="2"/>
  <c r="F13" i="2"/>
  <c r="B55" i="2"/>
  <c r="X35" i="2"/>
  <c r="Z35" i="2" s="1"/>
  <c r="Y35" i="2"/>
  <c r="E35" i="2"/>
  <c r="D49" i="2"/>
  <c r="Y57" i="2"/>
  <c r="X57" i="2"/>
  <c r="Z57" i="2" s="1"/>
  <c r="B77" i="2"/>
  <c r="S77" i="2" s="1"/>
  <c r="T77" i="2" s="1"/>
  <c r="C77" i="5" s="1"/>
  <c r="E57" i="2"/>
  <c r="S57" i="2"/>
  <c r="T57" i="2" s="1"/>
  <c r="C57" i="5" s="1"/>
  <c r="AA3" i="2"/>
  <c r="S29" i="2"/>
  <c r="T29" i="2" s="1"/>
  <c r="C29" i="5" s="1"/>
  <c r="Y29" i="2"/>
  <c r="X29" i="2"/>
  <c r="Z29" i="2" s="1"/>
  <c r="F29" i="2"/>
  <c r="C49" i="2"/>
  <c r="Y49" i="2" s="1"/>
  <c r="E29" i="2"/>
  <c r="U29" i="2" s="1"/>
  <c r="V29" i="2" s="1"/>
  <c r="D29" i="5" s="1"/>
  <c r="S10" i="2"/>
  <c r="T10" i="2" s="1"/>
  <c r="C10" i="5" s="1"/>
  <c r="F10" i="2"/>
  <c r="D70" i="2"/>
  <c r="D82" i="2"/>
  <c r="Y38" i="2"/>
  <c r="X38" i="2"/>
  <c r="Z38" i="2" s="1"/>
  <c r="S38" i="2"/>
  <c r="T38" i="2" s="1"/>
  <c r="C38" i="5" s="1"/>
  <c r="B58" i="2"/>
  <c r="S58" i="2" s="1"/>
  <c r="T58" i="2" s="1"/>
  <c r="C58" i="5" s="1"/>
  <c r="Y22" i="2"/>
  <c r="B38" i="1"/>
  <c r="X7" i="2"/>
  <c r="Z7" i="2" s="1"/>
  <c r="Y7" i="2"/>
  <c r="E7" i="2"/>
  <c r="F38" i="2"/>
  <c r="Y12" i="2"/>
  <c r="S12" i="2"/>
  <c r="T12" i="2" s="1"/>
  <c r="C12" i="5" s="1"/>
  <c r="S22" i="2"/>
  <c r="T22" i="2" s="1"/>
  <c r="C22" i="5" s="1"/>
  <c r="F22" i="2"/>
  <c r="B50" i="2"/>
  <c r="E30" i="2"/>
  <c r="X30" i="2"/>
  <c r="Z30" i="2" s="1"/>
  <c r="Y54" i="2"/>
  <c r="B74" i="2"/>
  <c r="F41" i="2"/>
  <c r="C61" i="2"/>
  <c r="S41" i="2"/>
  <c r="T41" i="2" s="1"/>
  <c r="C41" i="5" s="1"/>
  <c r="F62" i="2"/>
  <c r="D69" i="2"/>
  <c r="D54" i="2"/>
  <c r="E54" i="2" s="1"/>
  <c r="F8" i="2"/>
  <c r="E8" i="2"/>
  <c r="E9" i="2"/>
  <c r="E10" i="2"/>
  <c r="U10" i="2" s="1"/>
  <c r="V10" i="2" s="1"/>
  <c r="D10" i="5" s="1"/>
  <c r="Y19" i="2"/>
  <c r="F19" i="2"/>
  <c r="B69" i="2"/>
  <c r="E34" i="2"/>
  <c r="U34" i="2" s="1"/>
  <c r="V34" i="2" s="1"/>
  <c r="D34" i="5" s="1"/>
  <c r="U38" i="2"/>
  <c r="V38" i="2" s="1"/>
  <c r="D38" i="5" s="1"/>
  <c r="X41" i="2"/>
  <c r="Z41" i="2" s="1"/>
  <c r="AE4" i="2"/>
  <c r="F7" i="2"/>
  <c r="S18" i="2"/>
  <c r="T18" i="2" s="1"/>
  <c r="C18" i="5" s="1"/>
  <c r="F18" i="2"/>
  <c r="E18" i="2"/>
  <c r="Y30" i="2"/>
  <c r="E33" i="2"/>
  <c r="U33" i="2" s="1"/>
  <c r="V33" i="2" s="1"/>
  <c r="D33" i="5" s="1"/>
  <c r="Y33" i="2"/>
  <c r="X33" i="2"/>
  <c r="Z33" i="2" s="1"/>
  <c r="S33" i="2"/>
  <c r="T33" i="2" s="1"/>
  <c r="C33" i="5" s="1"/>
  <c r="B53" i="2"/>
  <c r="Y40" i="2"/>
  <c r="B60" i="2"/>
  <c r="X40" i="2"/>
  <c r="Z40" i="2" s="1"/>
  <c r="S40" i="2"/>
  <c r="T40" i="2" s="1"/>
  <c r="C40" i="5" s="1"/>
  <c r="C60" i="2"/>
  <c r="F40" i="2"/>
  <c r="B19" i="1"/>
  <c r="D66" i="2"/>
  <c r="Y17" i="2"/>
  <c r="D60" i="2"/>
  <c r="E6" i="2"/>
  <c r="U6" i="2" s="1"/>
  <c r="V6" i="2" s="1"/>
  <c r="D6" i="5" s="1"/>
  <c r="X27" i="2"/>
  <c r="Z27" i="2" s="1"/>
  <c r="B47" i="2"/>
  <c r="F47" i="2" s="1"/>
  <c r="F27" i="2"/>
  <c r="F33" i="2"/>
  <c r="E40" i="2"/>
  <c r="U40" i="2" s="1"/>
  <c r="V40" i="2" s="1"/>
  <c r="D40" i="5" s="1"/>
  <c r="X54" i="2"/>
  <c r="S6" i="2"/>
  <c r="T6" i="2" s="1"/>
  <c r="C6" i="5" s="1"/>
  <c r="F6" i="2"/>
  <c r="S8" i="2"/>
  <c r="T8" i="2" s="1"/>
  <c r="C8" i="5" s="1"/>
  <c r="X10" i="2"/>
  <c r="Z10" i="2" s="1"/>
  <c r="X12" i="2"/>
  <c r="Z12" i="2" s="1"/>
  <c r="D77" i="2"/>
  <c r="C67" i="2"/>
  <c r="U57" i="2"/>
  <c r="V57" i="2" s="1"/>
  <c r="D57" i="5" s="1"/>
  <c r="Y10" i="2"/>
  <c r="E17" i="2"/>
  <c r="U17" i="2" s="1"/>
  <c r="V17" i="2" s="1"/>
  <c r="D17" i="5" s="1"/>
  <c r="S7" i="2"/>
  <c r="T7" i="2" s="1"/>
  <c r="C7" i="5" s="1"/>
  <c r="F17" i="2"/>
  <c r="U18" i="2"/>
  <c r="V18" i="2" s="1"/>
  <c r="D18" i="5" s="1"/>
  <c r="S19" i="2"/>
  <c r="T19" i="2" s="1"/>
  <c r="C19" i="5" s="1"/>
  <c r="D46" i="2"/>
  <c r="F26" i="2"/>
  <c r="E27" i="2"/>
  <c r="X18" i="2"/>
  <c r="Z18" i="2" s="1"/>
  <c r="Y14" i="2"/>
  <c r="X14" i="2"/>
  <c r="Z14" i="2" s="1"/>
  <c r="E14" i="2"/>
  <c r="D75" i="2"/>
  <c r="F15" i="2"/>
  <c r="E15" i="2"/>
  <c r="Y18" i="2"/>
  <c r="U19" i="2"/>
  <c r="V19" i="2" s="1"/>
  <c r="D19" i="5" s="1"/>
  <c r="F25" i="2"/>
  <c r="C45" i="2"/>
  <c r="X45" i="2" s="1"/>
  <c r="Z45" i="2" s="1"/>
  <c r="Y25" i="2"/>
  <c r="X25" i="2"/>
  <c r="Z25" i="2" s="1"/>
  <c r="B71" i="2"/>
  <c r="E3" i="2"/>
  <c r="Y8" i="2"/>
  <c r="D45" i="2"/>
  <c r="S31" i="2"/>
  <c r="T31" i="2" s="1"/>
  <c r="C31" i="5" s="1"/>
  <c r="C51" i="2"/>
  <c r="X51" i="2" s="1"/>
  <c r="Z51" i="2" s="1"/>
  <c r="X6" i="2"/>
  <c r="Z6" i="2" s="1"/>
  <c r="AB8" i="2"/>
  <c r="AC8" i="2" s="1"/>
  <c r="Y13" i="2"/>
  <c r="X13" i="2"/>
  <c r="Z13" i="2" s="1"/>
  <c r="X19" i="2"/>
  <c r="Z19" i="2" s="1"/>
  <c r="B63" i="2"/>
  <c r="E25" i="2"/>
  <c r="U25" i="2" s="1"/>
  <c r="V25" i="2" s="1"/>
  <c r="D25" i="5" s="1"/>
  <c r="S27" i="2"/>
  <c r="T27" i="2" s="1"/>
  <c r="C27" i="5" s="1"/>
  <c r="S39" i="2"/>
  <c r="T39" i="2" s="1"/>
  <c r="C39" i="5" s="1"/>
  <c r="X39" i="2"/>
  <c r="Z39" i="2" s="1"/>
  <c r="D58" i="2"/>
  <c r="B81" i="2"/>
  <c r="C78" i="2"/>
  <c r="E4" i="2"/>
  <c r="X5" i="2"/>
  <c r="Z5" i="2" s="1"/>
  <c r="S35" i="2"/>
  <c r="T35" i="2" s="1"/>
  <c r="C35" i="5" s="1"/>
  <c r="F4" i="2"/>
  <c r="Y5" i="2"/>
  <c r="X31" i="2"/>
  <c r="Z31" i="2" s="1"/>
  <c r="Y31" i="2"/>
  <c r="E41" i="2"/>
  <c r="X11" i="2"/>
  <c r="Z11" i="2" s="1"/>
  <c r="E11" i="2"/>
  <c r="F35" i="2"/>
  <c r="S11" i="2"/>
  <c r="T11" i="2" s="1"/>
  <c r="C11" i="5" s="1"/>
  <c r="F11" i="2"/>
  <c r="S15" i="2"/>
  <c r="T15" i="2" s="1"/>
  <c r="C15" i="5" s="1"/>
  <c r="C43" i="2"/>
  <c r="F23" i="2"/>
  <c r="E31" i="2"/>
  <c r="D56" i="2"/>
  <c r="F57" i="2"/>
  <c r="C64" i="2"/>
  <c r="Y24" i="2"/>
  <c r="X24" i="2"/>
  <c r="Z24" i="2" s="1"/>
  <c r="B66" i="2"/>
  <c r="Y46" i="2"/>
  <c r="X46" i="2"/>
  <c r="E5" i="2"/>
  <c r="E12" i="2"/>
  <c r="U12" i="2" s="1"/>
  <c r="V12" i="2" s="1"/>
  <c r="D12" i="5" s="1"/>
  <c r="E16" i="2"/>
  <c r="Y16" i="2"/>
  <c r="E28" i="2"/>
  <c r="B48" i="2"/>
  <c r="C72" i="2"/>
  <c r="C55" i="2"/>
  <c r="F21" i="2"/>
  <c r="E36" i="2"/>
  <c r="Y36" i="2"/>
  <c r="X36" i="2"/>
  <c r="Z36" i="2" s="1"/>
  <c r="C82" i="2"/>
  <c r="S62" i="2"/>
  <c r="T62" i="2" s="1"/>
  <c r="C62" i="5" s="1"/>
  <c r="B56" i="2"/>
  <c r="X62" i="2"/>
  <c r="Z62" i="2" s="1"/>
  <c r="B82" i="2"/>
  <c r="AA21" i="2" l="1"/>
  <c r="AD21" i="2" s="1"/>
  <c r="Y44" i="2"/>
  <c r="B24" i="1"/>
  <c r="C79" i="2"/>
  <c r="X79" i="2" s="1"/>
  <c r="Z79" i="2" s="1"/>
  <c r="X64" i="2"/>
  <c r="Z64" i="2" s="1"/>
  <c r="AA64" i="2" s="1"/>
  <c r="X44" i="2"/>
  <c r="Z44" i="2" s="1"/>
  <c r="AB44" i="2" s="1"/>
  <c r="S44" i="2"/>
  <c r="T44" i="2" s="1"/>
  <c r="C44" i="5" s="1"/>
  <c r="E44" i="2"/>
  <c r="U37" i="2"/>
  <c r="V37" i="2" s="1"/>
  <c r="D37" i="5" s="1"/>
  <c r="AB28" i="2"/>
  <c r="Y59" i="2"/>
  <c r="B62" i="1"/>
  <c r="X59" i="2"/>
  <c r="E52" i="2"/>
  <c r="B52" i="1" s="1"/>
  <c r="B22" i="1"/>
  <c r="Y52" i="2"/>
  <c r="X52" i="2"/>
  <c r="Z52" i="2" s="1"/>
  <c r="AA52" i="2" s="1"/>
  <c r="AA32" i="2"/>
  <c r="AC32" i="2" s="1"/>
  <c r="S52" i="2"/>
  <c r="T52" i="2" s="1"/>
  <c r="C52" i="5" s="1"/>
  <c r="F59" i="2"/>
  <c r="X49" i="2"/>
  <c r="Z49" i="2" s="1"/>
  <c r="AA49" i="2" s="1"/>
  <c r="AA15" i="2"/>
  <c r="AD15" i="2" s="1"/>
  <c r="F52" i="2"/>
  <c r="Y64" i="2"/>
  <c r="Z54" i="2"/>
  <c r="F54" i="2"/>
  <c r="AA26" i="2"/>
  <c r="AC26" i="2" s="1"/>
  <c r="B20" i="1"/>
  <c r="F77" i="2"/>
  <c r="AA17" i="2"/>
  <c r="AB17" i="2"/>
  <c r="U23" i="2"/>
  <c r="V23" i="2" s="1"/>
  <c r="D23" i="5" s="1"/>
  <c r="B21" i="1"/>
  <c r="AA44" i="2"/>
  <c r="AA22" i="2"/>
  <c r="AC22" i="2" s="1"/>
  <c r="AA4" i="2"/>
  <c r="AB4" i="2"/>
  <c r="AC4" i="2" s="1"/>
  <c r="AA37" i="2"/>
  <c r="AC37" i="2" s="1"/>
  <c r="U26" i="2"/>
  <c r="V26" i="2" s="1"/>
  <c r="D26" i="5" s="1"/>
  <c r="B26" i="1"/>
  <c r="S47" i="2"/>
  <c r="T47" i="2" s="1"/>
  <c r="C47" i="5" s="1"/>
  <c r="AB23" i="2"/>
  <c r="AC23" i="2" s="1"/>
  <c r="U39" i="2"/>
  <c r="V39" i="2" s="1"/>
  <c r="D39" i="5" s="1"/>
  <c r="AA42" i="2"/>
  <c r="AB42" i="2"/>
  <c r="B42" i="1"/>
  <c r="U42" i="2"/>
  <c r="V42" i="2" s="1"/>
  <c r="D42" i="5" s="1"/>
  <c r="AB33" i="2"/>
  <c r="AA33" i="2"/>
  <c r="E77" i="2"/>
  <c r="U77" i="2" s="1"/>
  <c r="V77" i="2" s="1"/>
  <c r="D77" i="5" s="1"/>
  <c r="Y77" i="2"/>
  <c r="X77" i="2"/>
  <c r="Z77" i="2" s="1"/>
  <c r="C70" i="2"/>
  <c r="F50" i="2"/>
  <c r="S50" i="2"/>
  <c r="T50" i="2" s="1"/>
  <c r="C50" i="5" s="1"/>
  <c r="AD28" i="2"/>
  <c r="AC28" i="2"/>
  <c r="AB13" i="2"/>
  <c r="AA13" i="2"/>
  <c r="AA25" i="2"/>
  <c r="AB25" i="2"/>
  <c r="B27" i="1"/>
  <c r="U27" i="2"/>
  <c r="V27" i="2" s="1"/>
  <c r="D27" i="5" s="1"/>
  <c r="E72" i="2"/>
  <c r="Y72" i="2"/>
  <c r="X72" i="2"/>
  <c r="Z72" i="2" s="1"/>
  <c r="B7" i="1"/>
  <c r="U7" i="2"/>
  <c r="V7" i="2" s="1"/>
  <c r="D7" i="5" s="1"/>
  <c r="E64" i="2"/>
  <c r="AB57" i="2"/>
  <c r="AA57" i="2"/>
  <c r="Y66" i="2"/>
  <c r="E66" i="2"/>
  <c r="U66" i="2" s="1"/>
  <c r="V66" i="2" s="1"/>
  <c r="D66" i="5" s="1"/>
  <c r="X66" i="2"/>
  <c r="Z66" i="2" s="1"/>
  <c r="AB51" i="2"/>
  <c r="AA51" i="2"/>
  <c r="B36" i="1"/>
  <c r="U36" i="2"/>
  <c r="V36" i="2" s="1"/>
  <c r="D36" i="5" s="1"/>
  <c r="B11" i="1"/>
  <c r="AA34" i="2"/>
  <c r="AB34" i="2"/>
  <c r="B33" i="1"/>
  <c r="AC16" i="2"/>
  <c r="AD16" i="2"/>
  <c r="F45" i="2"/>
  <c r="C65" i="2"/>
  <c r="S45" i="2"/>
  <c r="T45" i="2" s="1"/>
  <c r="C45" i="5" s="1"/>
  <c r="AB7" i="2"/>
  <c r="AA7" i="2"/>
  <c r="AB24" i="2"/>
  <c r="AA24" i="2"/>
  <c r="AB11" i="2"/>
  <c r="AA11" i="2"/>
  <c r="F46" i="2"/>
  <c r="E46" i="2"/>
  <c r="S55" i="2"/>
  <c r="T55" i="2" s="1"/>
  <c r="C55" i="5" s="1"/>
  <c r="F55" i="2"/>
  <c r="C75" i="2"/>
  <c r="AA6" i="2"/>
  <c r="AB6" i="2"/>
  <c r="X58" i="2"/>
  <c r="Z58" i="2" s="1"/>
  <c r="Y58" i="2"/>
  <c r="B78" i="2"/>
  <c r="S78" i="2" s="1"/>
  <c r="T78" i="2" s="1"/>
  <c r="C78" i="5" s="1"/>
  <c r="E58" i="2"/>
  <c r="S72" i="2"/>
  <c r="T72" i="2" s="1"/>
  <c r="C72" i="5" s="1"/>
  <c r="F72" i="2"/>
  <c r="S64" i="2"/>
  <c r="T64" i="2" s="1"/>
  <c r="C64" i="5" s="1"/>
  <c r="F64" i="2"/>
  <c r="AB10" i="2"/>
  <c r="AA10" i="2"/>
  <c r="E48" i="2"/>
  <c r="B68" i="2"/>
  <c r="Y48" i="2"/>
  <c r="X48" i="2"/>
  <c r="Z48" i="2" s="1"/>
  <c r="S48" i="2"/>
  <c r="T48" i="2" s="1"/>
  <c r="C48" i="5" s="1"/>
  <c r="F61" i="2"/>
  <c r="C81" i="2"/>
  <c r="X81" i="2" s="1"/>
  <c r="Z81" i="2" s="1"/>
  <c r="S61" i="2"/>
  <c r="T61" i="2" s="1"/>
  <c r="C61" i="5" s="1"/>
  <c r="Y61" i="2"/>
  <c r="AB12" i="2"/>
  <c r="AA12" i="2"/>
  <c r="U41" i="2"/>
  <c r="V41" i="2" s="1"/>
  <c r="D41" i="5" s="1"/>
  <c r="B41" i="1"/>
  <c r="E61" i="2"/>
  <c r="B15" i="1"/>
  <c r="U15" i="2"/>
  <c r="V15" i="2" s="1"/>
  <c r="D15" i="5" s="1"/>
  <c r="U30" i="2"/>
  <c r="V30" i="2" s="1"/>
  <c r="D30" i="5" s="1"/>
  <c r="B30" i="1"/>
  <c r="AB45" i="2"/>
  <c r="AA45" i="2"/>
  <c r="C69" i="2"/>
  <c r="S49" i="2"/>
  <c r="T49" i="2" s="1"/>
  <c r="C49" i="5" s="1"/>
  <c r="F49" i="2"/>
  <c r="U8" i="2"/>
  <c r="V8" i="2" s="1"/>
  <c r="D8" i="5" s="1"/>
  <c r="B8" i="1"/>
  <c r="AA14" i="2"/>
  <c r="AB14" i="2"/>
  <c r="E50" i="2"/>
  <c r="B70" i="2"/>
  <c r="Y50" i="2"/>
  <c r="X50" i="2"/>
  <c r="Z50" i="2" s="1"/>
  <c r="B5" i="1"/>
  <c r="B17" i="1"/>
  <c r="S74" i="2"/>
  <c r="T74" i="2" s="1"/>
  <c r="C74" i="5" s="1"/>
  <c r="F74" i="2"/>
  <c r="AD3" i="2"/>
  <c r="AF3" i="2" s="1"/>
  <c r="AC3" i="2"/>
  <c r="B75" i="2"/>
  <c r="E55" i="2"/>
  <c r="Y55" i="2"/>
  <c r="X55" i="2"/>
  <c r="Z55" i="2" s="1"/>
  <c r="B9" i="1"/>
  <c r="U16" i="2"/>
  <c r="V16" i="2" s="1"/>
  <c r="D16" i="5" s="1"/>
  <c r="B16" i="1"/>
  <c r="B31" i="1"/>
  <c r="U31" i="2"/>
  <c r="V31" i="2" s="1"/>
  <c r="D31" i="5" s="1"/>
  <c r="E82" i="2"/>
  <c r="Y82" i="2"/>
  <c r="X82" i="2"/>
  <c r="Z82" i="2" s="1"/>
  <c r="U5" i="2"/>
  <c r="V5" i="2" s="1"/>
  <c r="D5" i="5" s="1"/>
  <c r="B25" i="1"/>
  <c r="AB41" i="2"/>
  <c r="AA41" i="2"/>
  <c r="AA62" i="2"/>
  <c r="AB62" i="2"/>
  <c r="F48" i="2"/>
  <c r="C63" i="2"/>
  <c r="Y63" i="2" s="1"/>
  <c r="S43" i="2"/>
  <c r="T43" i="2" s="1"/>
  <c r="C43" i="5" s="1"/>
  <c r="F43" i="2"/>
  <c r="B4" i="1"/>
  <c r="U4" i="2"/>
  <c r="V4" i="2" s="1"/>
  <c r="D4" i="5" s="1"/>
  <c r="E43" i="2"/>
  <c r="E45" i="2"/>
  <c r="X47" i="2"/>
  <c r="Z47" i="2" s="1"/>
  <c r="B67" i="2"/>
  <c r="E47" i="2"/>
  <c r="Y47" i="2"/>
  <c r="AB40" i="2"/>
  <c r="AA40" i="2"/>
  <c r="B13" i="1"/>
  <c r="X61" i="2"/>
  <c r="Z61" i="2" s="1"/>
  <c r="AA38" i="2"/>
  <c r="AB38" i="2"/>
  <c r="E74" i="2"/>
  <c r="Y74" i="2"/>
  <c r="X74" i="2"/>
  <c r="Z74" i="2" s="1"/>
  <c r="U28" i="2"/>
  <c r="V28" i="2" s="1"/>
  <c r="D28" i="5" s="1"/>
  <c r="B28" i="1"/>
  <c r="S51" i="2"/>
  <c r="T51" i="2" s="1"/>
  <c r="C51" i="5" s="1"/>
  <c r="F51" i="2"/>
  <c r="C71" i="2"/>
  <c r="X71" i="2" s="1"/>
  <c r="Z71" i="2" s="1"/>
  <c r="B10" i="1"/>
  <c r="AB30" i="2"/>
  <c r="AA30" i="2"/>
  <c r="AA54" i="2"/>
  <c r="AB54" i="2"/>
  <c r="AA29" i="2"/>
  <c r="AB29" i="2"/>
  <c r="B40" i="1"/>
  <c r="AB9" i="2"/>
  <c r="AA9" i="2"/>
  <c r="AB35" i="2"/>
  <c r="AA35" i="2"/>
  <c r="AB5" i="2"/>
  <c r="AA5" i="2"/>
  <c r="U11" i="2"/>
  <c r="V11" i="2" s="1"/>
  <c r="D11" i="5" s="1"/>
  <c r="E56" i="2"/>
  <c r="Y56" i="2"/>
  <c r="X56" i="2"/>
  <c r="Z56" i="2" s="1"/>
  <c r="F56" i="2"/>
  <c r="B76" i="2"/>
  <c r="S56" i="2"/>
  <c r="T56" i="2" s="1"/>
  <c r="C56" i="5" s="1"/>
  <c r="AB27" i="2"/>
  <c r="AA27" i="2"/>
  <c r="U9" i="2"/>
  <c r="V9" i="2" s="1"/>
  <c r="D9" i="5" s="1"/>
  <c r="AD8" i="2"/>
  <c r="Z59" i="2"/>
  <c r="B54" i="1"/>
  <c r="AE5" i="2"/>
  <c r="AB39" i="2"/>
  <c r="AA39" i="2"/>
  <c r="B14" i="1"/>
  <c r="U14" i="2"/>
  <c r="V14" i="2" s="1"/>
  <c r="D14" i="5" s="1"/>
  <c r="AD44" i="2"/>
  <c r="AC44" i="2"/>
  <c r="U35" i="2"/>
  <c r="V35" i="2" s="1"/>
  <c r="D35" i="5" s="1"/>
  <c r="B35" i="1"/>
  <c r="S60" i="2"/>
  <c r="T60" i="2" s="1"/>
  <c r="C60" i="5" s="1"/>
  <c r="C80" i="2"/>
  <c r="F60" i="2"/>
  <c r="F66" i="2"/>
  <c r="Y45" i="2"/>
  <c r="B80" i="2"/>
  <c r="Y60" i="2"/>
  <c r="E60" i="2"/>
  <c r="X60" i="2"/>
  <c r="Z60" i="2" s="1"/>
  <c r="Y43" i="2"/>
  <c r="B18" i="1"/>
  <c r="AA31" i="2"/>
  <c r="AB31" i="2"/>
  <c r="B29" i="1"/>
  <c r="B12" i="1"/>
  <c r="F58" i="2"/>
  <c r="AB20" i="2"/>
  <c r="AA20" i="2"/>
  <c r="U54" i="2"/>
  <c r="V54" i="2" s="1"/>
  <c r="D54" i="5" s="1"/>
  <c r="U3" i="2"/>
  <c r="V3" i="2" s="1"/>
  <c r="D3" i="5" s="1"/>
  <c r="B3" i="1"/>
  <c r="B34" i="1"/>
  <c r="S66" i="2"/>
  <c r="T66" i="2" s="1"/>
  <c r="C66" i="5" s="1"/>
  <c r="Y51" i="2"/>
  <c r="B6" i="1"/>
  <c r="S82" i="2"/>
  <c r="T82" i="2" s="1"/>
  <c r="C82" i="5" s="1"/>
  <c r="F82" i="2"/>
  <c r="Z46" i="2"/>
  <c r="B44" i="1"/>
  <c r="U44" i="2"/>
  <c r="V44" i="2" s="1"/>
  <c r="D44" i="5" s="1"/>
  <c r="X43" i="2"/>
  <c r="Z43" i="2" s="1"/>
  <c r="E51" i="2"/>
  <c r="AA18" i="2"/>
  <c r="AB18" i="2"/>
  <c r="B73" i="2"/>
  <c r="Y53" i="2"/>
  <c r="X53" i="2"/>
  <c r="Z53" i="2" s="1"/>
  <c r="E53" i="2"/>
  <c r="S53" i="2"/>
  <c r="T53" i="2" s="1"/>
  <c r="C53" i="5" s="1"/>
  <c r="F53" i="2"/>
  <c r="Y79" i="2"/>
  <c r="AB36" i="2"/>
  <c r="AA36" i="2"/>
  <c r="AB19" i="2"/>
  <c r="AA19" i="2"/>
  <c r="E49" i="2"/>
  <c r="U49" i="2" s="1"/>
  <c r="V49" i="2" s="1"/>
  <c r="D49" i="5" s="1"/>
  <c r="B57" i="1"/>
  <c r="E59" i="2"/>
  <c r="AD37" i="2" l="1"/>
  <c r="F79" i="2"/>
  <c r="AB49" i="2"/>
  <c r="AB52" i="2"/>
  <c r="U52" i="2"/>
  <c r="V52" i="2" s="1"/>
  <c r="D52" i="5" s="1"/>
  <c r="Y81" i="2"/>
  <c r="AB64" i="2"/>
  <c r="AD32" i="2"/>
  <c r="AC21" i="2"/>
  <c r="AD22" i="2"/>
  <c r="S79" i="2"/>
  <c r="T79" i="2" s="1"/>
  <c r="C79" i="5" s="1"/>
  <c r="E79" i="2"/>
  <c r="B79" i="1" s="1"/>
  <c r="AC15" i="2"/>
  <c r="AD26" i="2"/>
  <c r="AD42" i="2"/>
  <c r="AC42" i="2"/>
  <c r="AD4" i="2"/>
  <c r="AF4" i="2" s="1"/>
  <c r="AG4" i="2" s="1"/>
  <c r="P4" i="1" s="1"/>
  <c r="Q4" i="1" s="1"/>
  <c r="B3" i="4" s="1"/>
  <c r="D3" i="4" s="1"/>
  <c r="E71" i="2"/>
  <c r="B71" i="1" s="1"/>
  <c r="AG3" i="2"/>
  <c r="P3" i="1" s="1"/>
  <c r="Q3" i="1" s="1"/>
  <c r="AD23" i="2"/>
  <c r="X63" i="2"/>
  <c r="Z63" i="2" s="1"/>
  <c r="E63" i="2"/>
  <c r="U63" i="2" s="1"/>
  <c r="V63" i="2" s="1"/>
  <c r="D63" i="5" s="1"/>
  <c r="AC17" i="2"/>
  <c r="AD17" i="2"/>
  <c r="B72" i="1"/>
  <c r="AD27" i="2"/>
  <c r="AC27" i="2"/>
  <c r="AD54" i="2"/>
  <c r="AC54" i="2"/>
  <c r="AB61" i="2"/>
  <c r="AA61" i="2"/>
  <c r="AD62" i="2"/>
  <c r="AC62" i="2"/>
  <c r="B55" i="1"/>
  <c r="U55" i="2"/>
  <c r="V55" i="2" s="1"/>
  <c r="D55" i="5" s="1"/>
  <c r="B58" i="1"/>
  <c r="AD7" i="2"/>
  <c r="AC7" i="2"/>
  <c r="K3" i="1"/>
  <c r="B60" i="1"/>
  <c r="AD38" i="2"/>
  <c r="AC38" i="2"/>
  <c r="AD41" i="2"/>
  <c r="AC41" i="2"/>
  <c r="F69" i="2"/>
  <c r="S69" i="2"/>
  <c r="T69" i="2" s="1"/>
  <c r="C69" i="5" s="1"/>
  <c r="AA58" i="2"/>
  <c r="AB58" i="2"/>
  <c r="F65" i="2"/>
  <c r="S65" i="2"/>
  <c r="T65" i="2" s="1"/>
  <c r="C65" i="5" s="1"/>
  <c r="Y65" i="2"/>
  <c r="X65" i="2"/>
  <c r="Z65" i="2" s="1"/>
  <c r="E65" i="2"/>
  <c r="AD25" i="2"/>
  <c r="AC25" i="2"/>
  <c r="AD13" i="2"/>
  <c r="AC13" i="2"/>
  <c r="AD40" i="2"/>
  <c r="AC40" i="2"/>
  <c r="S80" i="2"/>
  <c r="T80" i="2" s="1"/>
  <c r="C80" i="5" s="1"/>
  <c r="F80" i="2"/>
  <c r="AD45" i="2"/>
  <c r="AC45" i="2"/>
  <c r="AB82" i="2"/>
  <c r="AA82" i="2"/>
  <c r="AB48" i="2"/>
  <c r="AA48" i="2"/>
  <c r="AC51" i="2"/>
  <c r="AD51" i="2"/>
  <c r="B56" i="1"/>
  <c r="S71" i="2"/>
  <c r="T71" i="2" s="1"/>
  <c r="C71" i="5" s="1"/>
  <c r="F71" i="2"/>
  <c r="B47" i="1"/>
  <c r="U47" i="2"/>
  <c r="V47" i="2" s="1"/>
  <c r="D47" i="5" s="1"/>
  <c r="AD6" i="2"/>
  <c r="AC6" i="2"/>
  <c r="AC19" i="2"/>
  <c r="AD19" i="2"/>
  <c r="E75" i="2"/>
  <c r="X75" i="2"/>
  <c r="Z75" i="2" s="1"/>
  <c r="Y75" i="2"/>
  <c r="AD20" i="2"/>
  <c r="AC20" i="2"/>
  <c r="E78" i="2"/>
  <c r="Y78" i="2"/>
  <c r="X78" i="2"/>
  <c r="Z78" i="2" s="1"/>
  <c r="X67" i="2"/>
  <c r="Z67" i="2" s="1"/>
  <c r="E67" i="2"/>
  <c r="Y67" i="2"/>
  <c r="B82" i="1"/>
  <c r="X68" i="2"/>
  <c r="Z68" i="2" s="1"/>
  <c r="E68" i="2"/>
  <c r="Y68" i="2"/>
  <c r="S68" i="2"/>
  <c r="T68" i="2" s="1"/>
  <c r="C68" i="5" s="1"/>
  <c r="F68" i="2"/>
  <c r="F75" i="2"/>
  <c r="S75" i="2"/>
  <c r="T75" i="2" s="1"/>
  <c r="C75" i="5" s="1"/>
  <c r="X69" i="2"/>
  <c r="Z69" i="2" s="1"/>
  <c r="AA66" i="2"/>
  <c r="AB66" i="2"/>
  <c r="AD5" i="2"/>
  <c r="AF5" i="2" s="1"/>
  <c r="AC5" i="2"/>
  <c r="AB47" i="2"/>
  <c r="AA47" i="2"/>
  <c r="B48" i="1"/>
  <c r="U48" i="2"/>
  <c r="V48" i="2" s="1"/>
  <c r="D48" i="5" s="1"/>
  <c r="E69" i="2"/>
  <c r="B66" i="1"/>
  <c r="AA81" i="2"/>
  <c r="AB81" i="2"/>
  <c r="F81" i="2"/>
  <c r="S81" i="2"/>
  <c r="T81" i="2" s="1"/>
  <c r="C81" i="5" s="1"/>
  <c r="F78" i="2"/>
  <c r="E81" i="2"/>
  <c r="Y76" i="2"/>
  <c r="X76" i="2"/>
  <c r="Z76" i="2" s="1"/>
  <c r="E76" i="2"/>
  <c r="S76" i="2"/>
  <c r="T76" i="2" s="1"/>
  <c r="C76" i="5" s="1"/>
  <c r="F76" i="2"/>
  <c r="AC36" i="2"/>
  <c r="AD36" i="2"/>
  <c r="B45" i="1"/>
  <c r="AD10" i="2"/>
  <c r="AC10" i="2"/>
  <c r="Y69" i="2"/>
  <c r="B43" i="1"/>
  <c r="U43" i="2"/>
  <c r="V43" i="2" s="1"/>
  <c r="D43" i="5" s="1"/>
  <c r="B46" i="1"/>
  <c r="AC57" i="2"/>
  <c r="AD57" i="2"/>
  <c r="F70" i="2"/>
  <c r="S70" i="2"/>
  <c r="T70" i="2" s="1"/>
  <c r="C70" i="5" s="1"/>
  <c r="U56" i="2"/>
  <c r="V56" i="2" s="1"/>
  <c r="D56" i="5" s="1"/>
  <c r="AA77" i="2"/>
  <c r="AB77" i="2"/>
  <c r="E80" i="2"/>
  <c r="X80" i="2"/>
  <c r="Z80" i="2" s="1"/>
  <c r="Y80" i="2"/>
  <c r="AD30" i="2"/>
  <c r="AC30" i="2"/>
  <c r="B59" i="1"/>
  <c r="U82" i="2"/>
  <c r="V82" i="2" s="1"/>
  <c r="D82" i="5" s="1"/>
  <c r="U59" i="2"/>
  <c r="V59" i="2" s="1"/>
  <c r="D59" i="5" s="1"/>
  <c r="AC9" i="2"/>
  <c r="AD9" i="2"/>
  <c r="AB50" i="2"/>
  <c r="AA50" i="2"/>
  <c r="U46" i="2"/>
  <c r="V46" i="2" s="1"/>
  <c r="D46" i="5" s="1"/>
  <c r="B64" i="1"/>
  <c r="U64" i="2"/>
  <c r="V64" i="2" s="1"/>
  <c r="D64" i="5" s="1"/>
  <c r="AA59" i="2"/>
  <c r="AB59" i="2"/>
  <c r="AB79" i="2"/>
  <c r="AA79" i="2"/>
  <c r="U58" i="2"/>
  <c r="V58" i="2" s="1"/>
  <c r="D58" i="5" s="1"/>
  <c r="B53" i="1"/>
  <c r="U53" i="2"/>
  <c r="V53" i="2" s="1"/>
  <c r="D53" i="5" s="1"/>
  <c r="U45" i="2"/>
  <c r="V45" i="2" s="1"/>
  <c r="D45" i="5" s="1"/>
  <c r="AD35" i="2"/>
  <c r="AC35" i="2"/>
  <c r="AB53" i="2"/>
  <c r="AA53" i="2"/>
  <c r="AD31" i="2"/>
  <c r="AC31" i="2"/>
  <c r="B49" i="1"/>
  <c r="Y73" i="2"/>
  <c r="X73" i="2"/>
  <c r="Z73" i="2" s="1"/>
  <c r="E73" i="2"/>
  <c r="S73" i="2"/>
  <c r="T73" i="2" s="1"/>
  <c r="C73" i="5" s="1"/>
  <c r="F73" i="2"/>
  <c r="U72" i="2"/>
  <c r="V72" i="2" s="1"/>
  <c r="D72" i="5" s="1"/>
  <c r="U61" i="2"/>
  <c r="V61" i="2" s="1"/>
  <c r="D61" i="5" s="1"/>
  <c r="B61" i="1"/>
  <c r="AD11" i="2"/>
  <c r="AC11" i="2"/>
  <c r="B77" i="1"/>
  <c r="AC39" i="2"/>
  <c r="AD39" i="2"/>
  <c r="S67" i="2"/>
  <c r="T67" i="2" s="1"/>
  <c r="C67" i="5" s="1"/>
  <c r="AD33" i="2"/>
  <c r="AC33" i="2"/>
  <c r="U60" i="2"/>
  <c r="V60" i="2" s="1"/>
  <c r="D60" i="5" s="1"/>
  <c r="AB63" i="2"/>
  <c r="AA63" i="2"/>
  <c r="AB74" i="2"/>
  <c r="AA74" i="2"/>
  <c r="X70" i="2"/>
  <c r="Z70" i="2" s="1"/>
  <c r="Y70" i="2"/>
  <c r="E70" i="2"/>
  <c r="AC18" i="2"/>
  <c r="AD18" i="2"/>
  <c r="B50" i="1"/>
  <c r="U50" i="2"/>
  <c r="V50" i="2" s="1"/>
  <c r="D50" i="5" s="1"/>
  <c r="AC24" i="2"/>
  <c r="AD24" i="2"/>
  <c r="F67" i="2"/>
  <c r="AB46" i="2"/>
  <c r="AA46" i="2"/>
  <c r="AE6" i="2"/>
  <c r="B74" i="1"/>
  <c r="U74" i="2"/>
  <c r="V74" i="2" s="1"/>
  <c r="D74" i="5" s="1"/>
  <c r="F63" i="2"/>
  <c r="S63" i="2"/>
  <c r="T63" i="2" s="1"/>
  <c r="C63" i="5" s="1"/>
  <c r="AB72" i="2"/>
  <c r="AA72" i="2"/>
  <c r="AB56" i="2"/>
  <c r="AA56" i="2"/>
  <c r="AC49" i="2"/>
  <c r="AD49" i="2"/>
  <c r="AC52" i="2"/>
  <c r="AD52" i="2"/>
  <c r="AB71" i="2"/>
  <c r="AA71" i="2"/>
  <c r="B51" i="1"/>
  <c r="U51" i="2"/>
  <c r="V51" i="2" s="1"/>
  <c r="D51" i="5" s="1"/>
  <c r="B63" i="1"/>
  <c r="Y71" i="2"/>
  <c r="AB43" i="2"/>
  <c r="AA43" i="2"/>
  <c r="AB60" i="2"/>
  <c r="AA60" i="2"/>
  <c r="AD29" i="2"/>
  <c r="AC29" i="2"/>
  <c r="AB55" i="2"/>
  <c r="AA55" i="2"/>
  <c r="AD14" i="2"/>
  <c r="AC14" i="2"/>
  <c r="AC12" i="2"/>
  <c r="AD12" i="2"/>
  <c r="AD34" i="2"/>
  <c r="AC34" i="2"/>
  <c r="AD64" i="2"/>
  <c r="AC64" i="2"/>
  <c r="U71" i="2" l="1"/>
  <c r="V71" i="2" s="1"/>
  <c r="D71" i="5" s="1"/>
  <c r="U79" i="2"/>
  <c r="V79" i="2" s="1"/>
  <c r="D79" i="5" s="1"/>
  <c r="C3" i="1"/>
  <c r="M3" i="1" s="1"/>
  <c r="N3" i="1" s="1"/>
  <c r="B2" i="4"/>
  <c r="D2" i="4" s="1"/>
  <c r="E2" i="4" s="1"/>
  <c r="F2" i="4" s="1"/>
  <c r="G2" i="4" s="1"/>
  <c r="H2" i="4" s="1"/>
  <c r="I2" i="4" s="1"/>
  <c r="K4" i="1"/>
  <c r="G4" i="1" s="1"/>
  <c r="AG5" i="2"/>
  <c r="P5" i="1" s="1"/>
  <c r="Q5" i="1" s="1"/>
  <c r="B4" i="4" s="1"/>
  <c r="D4" i="4" s="1"/>
  <c r="K5" i="1"/>
  <c r="E3" i="4"/>
  <c r="F3" i="4" s="1"/>
  <c r="G3" i="4" s="1"/>
  <c r="H3" i="4" s="1"/>
  <c r="I3" i="4" s="1"/>
  <c r="AD55" i="2"/>
  <c r="AC55" i="2"/>
  <c r="AC71" i="2"/>
  <c r="AD71" i="2"/>
  <c r="B68" i="1"/>
  <c r="U68" i="2"/>
  <c r="V68" i="2" s="1"/>
  <c r="D68" i="5" s="1"/>
  <c r="AD81" i="2"/>
  <c r="AC81" i="2"/>
  <c r="AB68" i="2"/>
  <c r="AA68" i="2"/>
  <c r="AC58" i="2"/>
  <c r="AD58" i="2"/>
  <c r="B69" i="1"/>
  <c r="U69" i="2"/>
  <c r="V69" i="2" s="1"/>
  <c r="D69" i="5" s="1"/>
  <c r="AD61" i="2"/>
  <c r="AC61" i="2"/>
  <c r="AC79" i="2"/>
  <c r="AD79" i="2"/>
  <c r="C4" i="1"/>
  <c r="AD47" i="2"/>
  <c r="AC47" i="2"/>
  <c r="AA73" i="2"/>
  <c r="AB73" i="2"/>
  <c r="AA76" i="2"/>
  <c r="AB76" i="2"/>
  <c r="G3" i="1"/>
  <c r="AB78" i="2"/>
  <c r="AA78" i="2"/>
  <c r="B78" i="1"/>
  <c r="U78" i="2"/>
  <c r="V78" i="2" s="1"/>
  <c r="D78" i="5" s="1"/>
  <c r="AB70" i="2"/>
  <c r="AA70" i="2"/>
  <c r="AD59" i="2"/>
  <c r="AC59" i="2"/>
  <c r="AD66" i="2"/>
  <c r="AC66" i="2"/>
  <c r="AC74" i="2"/>
  <c r="AD74" i="2"/>
  <c r="B81" i="1"/>
  <c r="U81" i="2"/>
  <c r="V81" i="2" s="1"/>
  <c r="D81" i="5" s="1"/>
  <c r="AB69" i="2"/>
  <c r="AA69" i="2"/>
  <c r="AC53" i="2"/>
  <c r="AD53" i="2"/>
  <c r="AB80" i="2"/>
  <c r="AA80" i="2"/>
  <c r="AB75" i="2"/>
  <c r="AA75" i="2"/>
  <c r="B65" i="1"/>
  <c r="U65" i="2"/>
  <c r="V65" i="2" s="1"/>
  <c r="D65" i="5" s="1"/>
  <c r="B70" i="1"/>
  <c r="U70" i="2"/>
  <c r="V70" i="2" s="1"/>
  <c r="D70" i="5" s="1"/>
  <c r="AB65" i="2"/>
  <c r="AA65" i="2"/>
  <c r="AC56" i="2"/>
  <c r="AD56" i="2"/>
  <c r="AD60" i="2"/>
  <c r="AC60" i="2"/>
  <c r="U67" i="2"/>
  <c r="V67" i="2" s="1"/>
  <c r="D67" i="5" s="1"/>
  <c r="B67" i="1"/>
  <c r="AD72" i="2"/>
  <c r="AC72" i="2"/>
  <c r="B73" i="1"/>
  <c r="U73" i="2"/>
  <c r="V73" i="2" s="1"/>
  <c r="D73" i="5" s="1"/>
  <c r="AA67" i="2"/>
  <c r="AB67" i="2"/>
  <c r="AD43" i="2"/>
  <c r="AC43" i="2"/>
  <c r="B75" i="1"/>
  <c r="U75" i="2"/>
  <c r="V75" i="2" s="1"/>
  <c r="D75" i="5" s="1"/>
  <c r="U76" i="2"/>
  <c r="V76" i="2" s="1"/>
  <c r="D76" i="5" s="1"/>
  <c r="B76" i="1"/>
  <c r="B80" i="1"/>
  <c r="U80" i="2"/>
  <c r="V80" i="2" s="1"/>
  <c r="D80" i="5" s="1"/>
  <c r="AD48" i="2"/>
  <c r="AC48" i="2"/>
  <c r="AE7" i="2"/>
  <c r="AF6" i="2"/>
  <c r="AG6" i="2" s="1"/>
  <c r="P6" i="1" s="1"/>
  <c r="AD63" i="2"/>
  <c r="AC63" i="2"/>
  <c r="AD50" i="2"/>
  <c r="AC50" i="2"/>
  <c r="AC77" i="2"/>
  <c r="AD77" i="2"/>
  <c r="AD82" i="2"/>
  <c r="AC82" i="2"/>
  <c r="AD46" i="2"/>
  <c r="AC46" i="2"/>
  <c r="J3" i="5" l="1"/>
  <c r="K4" i="6"/>
  <c r="B3" i="5"/>
  <c r="H3" i="5" s="1"/>
  <c r="AH3" i="2"/>
  <c r="R3" i="1" s="1"/>
  <c r="J3" i="1"/>
  <c r="M4" i="6"/>
  <c r="S4" i="6"/>
  <c r="D4" i="6"/>
  <c r="O4" i="6"/>
  <c r="G3" i="2"/>
  <c r="Q4" i="6"/>
  <c r="C5" i="1"/>
  <c r="B5" i="5" s="1"/>
  <c r="H5" i="5" s="1"/>
  <c r="AD65" i="2"/>
  <c r="AC65" i="2"/>
  <c r="AD70" i="2"/>
  <c r="AC70" i="2"/>
  <c r="AD67" i="2"/>
  <c r="AC67" i="2"/>
  <c r="K6" i="1"/>
  <c r="Q6" i="1"/>
  <c r="B5" i="4" s="1"/>
  <c r="D5" i="4" s="1"/>
  <c r="N3" i="5"/>
  <c r="K3" i="5"/>
  <c r="AD76" i="2"/>
  <c r="AC76" i="2"/>
  <c r="AC75" i="2"/>
  <c r="AD75" i="2"/>
  <c r="K5" i="6"/>
  <c r="D5" i="6"/>
  <c r="S5" i="6"/>
  <c r="Q5" i="6"/>
  <c r="O5" i="6"/>
  <c r="M5" i="6"/>
  <c r="J4" i="5"/>
  <c r="G4" i="2"/>
  <c r="J4" i="1"/>
  <c r="AH4" i="2"/>
  <c r="R4" i="1" s="1"/>
  <c r="B4" i="5"/>
  <c r="H4" i="5" s="1"/>
  <c r="AJ3" i="2"/>
  <c r="H3" i="2"/>
  <c r="AE8" i="2"/>
  <c r="AF7" i="2"/>
  <c r="AG7" i="2" s="1"/>
  <c r="P7" i="1" s="1"/>
  <c r="AC68" i="2"/>
  <c r="AD68" i="2"/>
  <c r="AD78" i="2"/>
  <c r="AC78" i="2"/>
  <c r="M4" i="1"/>
  <c r="N4" i="1" s="1"/>
  <c r="AI4" i="6"/>
  <c r="AG4" i="6"/>
  <c r="AE4" i="6"/>
  <c r="AC4" i="6"/>
  <c r="X4" i="6"/>
  <c r="W4" i="6"/>
  <c r="L3" i="5"/>
  <c r="M3" i="5" s="1"/>
  <c r="AC80" i="2"/>
  <c r="AD80" i="2"/>
  <c r="E4" i="4"/>
  <c r="F4" i="4"/>
  <c r="G4" i="4" s="1"/>
  <c r="H4" i="4" s="1"/>
  <c r="I4" i="4" s="1"/>
  <c r="AD69" i="2"/>
  <c r="AC69" i="2"/>
  <c r="AD73" i="2"/>
  <c r="AC73" i="2"/>
  <c r="G5" i="1"/>
  <c r="J5" i="1" l="1"/>
  <c r="G5" i="2"/>
  <c r="I3" i="5"/>
  <c r="AH5" i="2"/>
  <c r="R5" i="1" s="1"/>
  <c r="W6" i="6" s="1"/>
  <c r="K6" i="6"/>
  <c r="M6" i="6"/>
  <c r="J5" i="5"/>
  <c r="K5" i="5" s="1"/>
  <c r="I5" i="5" s="1"/>
  <c r="O6" i="6"/>
  <c r="Q6" i="6"/>
  <c r="D6" i="6"/>
  <c r="S6" i="6"/>
  <c r="M5" i="1"/>
  <c r="N5" i="1" s="1"/>
  <c r="E5" i="4"/>
  <c r="F5" i="4" s="1"/>
  <c r="G5" i="4" s="1"/>
  <c r="H5" i="4" s="1"/>
  <c r="I5" i="4" s="1"/>
  <c r="AF8" i="2"/>
  <c r="AG8" i="2" s="1"/>
  <c r="P8" i="1" s="1"/>
  <c r="AE9" i="2"/>
  <c r="N4" i="5"/>
  <c r="K4" i="5"/>
  <c r="I4" i="5" s="1"/>
  <c r="AJ5" i="2"/>
  <c r="H5" i="2"/>
  <c r="AJ4" i="2"/>
  <c r="H4" i="2"/>
  <c r="G6" i="1"/>
  <c r="Q7" i="1"/>
  <c r="B6" i="4" s="1"/>
  <c r="D6" i="4" s="1"/>
  <c r="K7" i="1"/>
  <c r="AE6" i="6"/>
  <c r="AC6" i="6"/>
  <c r="X6" i="6"/>
  <c r="V3" i="5"/>
  <c r="Y3" i="5"/>
  <c r="O3" i="2"/>
  <c r="P3" i="2" s="1"/>
  <c r="AE5" i="6"/>
  <c r="AI5" i="6"/>
  <c r="AG5" i="6"/>
  <c r="W5" i="6"/>
  <c r="X5" i="6"/>
  <c r="AC5" i="6"/>
  <c r="L4" i="5"/>
  <c r="M4" i="5" s="1"/>
  <c r="C6" i="1"/>
  <c r="N5" i="5" l="1"/>
  <c r="AG6" i="6"/>
  <c r="AI6" i="6"/>
  <c r="L5" i="5"/>
  <c r="M5" i="5" s="1"/>
  <c r="G7" i="1"/>
  <c r="K3" i="2"/>
  <c r="K8" i="1"/>
  <c r="Q8" i="1"/>
  <c r="B7" i="4" s="1"/>
  <c r="D7" i="4" s="1"/>
  <c r="M7" i="6"/>
  <c r="K7" i="6"/>
  <c r="O7" i="6"/>
  <c r="Q7" i="6"/>
  <c r="J6" i="5"/>
  <c r="S7" i="6"/>
  <c r="J6" i="1"/>
  <c r="AH6" i="2"/>
  <c r="R6" i="1" s="1"/>
  <c r="D7" i="6"/>
  <c r="G6" i="2"/>
  <c r="B6" i="5"/>
  <c r="H6" i="5" s="1"/>
  <c r="E6" i="4"/>
  <c r="F6" i="4" s="1"/>
  <c r="G6" i="4" s="1"/>
  <c r="H6" i="4" s="1"/>
  <c r="I6" i="4" s="1"/>
  <c r="M6" i="1"/>
  <c r="N6" i="1" s="1"/>
  <c r="V5" i="5"/>
  <c r="Y5" i="5"/>
  <c r="O5" i="2"/>
  <c r="P5" i="2" s="1"/>
  <c r="I5" i="2"/>
  <c r="R3" i="2"/>
  <c r="G3" i="5" s="1"/>
  <c r="Q3" i="2"/>
  <c r="E3" i="5" s="1"/>
  <c r="F3" i="5"/>
  <c r="AE10" i="2"/>
  <c r="AF9" i="2"/>
  <c r="AG9" i="2" s="1"/>
  <c r="P9" i="1" s="1"/>
  <c r="C7" i="1"/>
  <c r="M7" i="1" s="1"/>
  <c r="N7" i="1" s="1"/>
  <c r="Y4" i="5"/>
  <c r="V4" i="5"/>
  <c r="O4" i="2"/>
  <c r="P4" i="2" s="1"/>
  <c r="I4" i="2"/>
  <c r="AA3" i="5"/>
  <c r="Z3" i="5"/>
  <c r="W3" i="5"/>
  <c r="X3" i="5"/>
  <c r="F4" i="5" l="1"/>
  <c r="R4" i="2"/>
  <c r="G4" i="5" s="1"/>
  <c r="Q4" i="2"/>
  <c r="E4" i="5" s="1"/>
  <c r="AA4" i="5"/>
  <c r="Z4" i="5"/>
  <c r="E7" i="4"/>
  <c r="F7" i="4" s="1"/>
  <c r="G7" i="4" s="1"/>
  <c r="H7" i="4" s="1"/>
  <c r="I7" i="4" s="1"/>
  <c r="X4" i="5"/>
  <c r="W4" i="5"/>
  <c r="K5" i="2"/>
  <c r="J5" i="2"/>
  <c r="AI7" i="6"/>
  <c r="AC7" i="6"/>
  <c r="W7" i="6"/>
  <c r="L6" i="5"/>
  <c r="M6" i="5" s="1"/>
  <c r="AE7" i="6"/>
  <c r="X7" i="6"/>
  <c r="AG7" i="6"/>
  <c r="K9" i="1"/>
  <c r="Q9" i="1"/>
  <c r="B8" i="4" s="1"/>
  <c r="D8" i="4" s="1"/>
  <c r="G8" i="1"/>
  <c r="AJ6" i="2"/>
  <c r="H6" i="2"/>
  <c r="K4" i="2"/>
  <c r="J4" i="2"/>
  <c r="N6" i="5"/>
  <c r="K6" i="5"/>
  <c r="I6" i="5" s="1"/>
  <c r="D8" i="6"/>
  <c r="O8" i="6"/>
  <c r="K8" i="6"/>
  <c r="S8" i="6"/>
  <c r="Q8" i="6"/>
  <c r="M8" i="6"/>
  <c r="J7" i="5"/>
  <c r="AH7" i="2"/>
  <c r="R7" i="1" s="1"/>
  <c r="G7" i="2"/>
  <c r="J7" i="1"/>
  <c r="B7" i="5"/>
  <c r="H7" i="5" s="1"/>
  <c r="AE11" i="2"/>
  <c r="AF10" i="2"/>
  <c r="AG10" i="2" s="1"/>
  <c r="P10" i="1" s="1"/>
  <c r="C8" i="1"/>
  <c r="F5" i="5"/>
  <c r="R5" i="2"/>
  <c r="G5" i="5" s="1"/>
  <c r="Q5" i="2"/>
  <c r="E5" i="5" s="1"/>
  <c r="AA5" i="5"/>
  <c r="Z5" i="5"/>
  <c r="X5" i="5"/>
  <c r="W5" i="5"/>
  <c r="C9" i="1" l="1"/>
  <c r="M9" i="1" s="1"/>
  <c r="N9" i="1" s="1"/>
  <c r="G9" i="1"/>
  <c r="AJ7" i="2"/>
  <c r="H7" i="2"/>
  <c r="K7" i="5"/>
  <c r="N7" i="5"/>
  <c r="Y6" i="5"/>
  <c r="V6" i="5"/>
  <c r="I6" i="2"/>
  <c r="O6" i="2"/>
  <c r="P6" i="2" s="1"/>
  <c r="D10" i="6"/>
  <c r="S10" i="6"/>
  <c r="Q10" i="6"/>
  <c r="O10" i="6"/>
  <c r="M10" i="6"/>
  <c r="K10" i="6"/>
  <c r="J9" i="5"/>
  <c r="J9" i="1"/>
  <c r="G9" i="2"/>
  <c r="AH9" i="2"/>
  <c r="R9" i="1" s="1"/>
  <c r="B9" i="5"/>
  <c r="H9" i="5" s="1"/>
  <c r="X8" i="6"/>
  <c r="W8" i="6"/>
  <c r="AI8" i="6"/>
  <c r="AC8" i="6"/>
  <c r="AG8" i="6"/>
  <c r="L7" i="5"/>
  <c r="M7" i="5" s="1"/>
  <c r="AE8" i="6"/>
  <c r="O9" i="6"/>
  <c r="M9" i="6"/>
  <c r="D9" i="6"/>
  <c r="Q9" i="6"/>
  <c r="K9" i="6"/>
  <c r="J8" i="5"/>
  <c r="S9" i="6"/>
  <c r="J8" i="1"/>
  <c r="AH8" i="2"/>
  <c r="R8" i="1" s="1"/>
  <c r="G8" i="2"/>
  <c r="B8" i="5"/>
  <c r="H8" i="5" s="1"/>
  <c r="Q10" i="1"/>
  <c r="B9" i="4" s="1"/>
  <c r="D9" i="4" s="1"/>
  <c r="K10" i="1"/>
  <c r="M8" i="1"/>
  <c r="N8" i="1" s="1"/>
  <c r="AF11" i="2"/>
  <c r="AG11" i="2" s="1"/>
  <c r="P11" i="1" s="1"/>
  <c r="AE12" i="2"/>
  <c r="I7" i="5"/>
  <c r="E8" i="4"/>
  <c r="F8" i="4"/>
  <c r="G8" i="4" s="1"/>
  <c r="H8" i="4" s="1"/>
  <c r="I8" i="4" s="1"/>
  <c r="C10" i="1" l="1"/>
  <c r="X10" i="6"/>
  <c r="W10" i="6"/>
  <c r="AI10" i="6"/>
  <c r="AG10" i="6"/>
  <c r="AE10" i="6"/>
  <c r="AC10" i="6"/>
  <c r="L9" i="5"/>
  <c r="M9" i="5" s="1"/>
  <c r="Q11" i="6"/>
  <c r="O11" i="6"/>
  <c r="K11" i="6"/>
  <c r="M11" i="6"/>
  <c r="S11" i="6"/>
  <c r="J10" i="5"/>
  <c r="D11" i="6"/>
  <c r="G10" i="2"/>
  <c r="AH10" i="2"/>
  <c r="R10" i="1" s="1"/>
  <c r="J10" i="1"/>
  <c r="B10" i="5"/>
  <c r="H10" i="5" s="1"/>
  <c r="E9" i="4"/>
  <c r="F9" i="4" s="1"/>
  <c r="G9" i="4" s="1"/>
  <c r="H9" i="4" s="1"/>
  <c r="I9" i="4" s="1"/>
  <c r="AJ8" i="2"/>
  <c r="H8" i="2"/>
  <c r="F6" i="5"/>
  <c r="R6" i="2"/>
  <c r="G6" i="5" s="1"/>
  <c r="Q6" i="2"/>
  <c r="E6" i="5" s="1"/>
  <c r="K6" i="2"/>
  <c r="J6" i="2"/>
  <c r="Z6" i="5"/>
  <c r="AA6" i="5"/>
  <c r="M10" i="1"/>
  <c r="N10" i="1" s="1"/>
  <c r="G10" i="1"/>
  <c r="I8" i="5"/>
  <c r="N9" i="5"/>
  <c r="K9" i="5"/>
  <c r="AJ9" i="2"/>
  <c r="H9" i="2"/>
  <c r="AG9" i="6"/>
  <c r="AC9" i="6"/>
  <c r="AE9" i="6"/>
  <c r="X9" i="6"/>
  <c r="W9" i="6"/>
  <c r="AI9" i="6"/>
  <c r="L8" i="5"/>
  <c r="M8" i="5" s="1"/>
  <c r="N8" i="5"/>
  <c r="K8" i="5"/>
  <c r="X6" i="5"/>
  <c r="W6" i="5"/>
  <c r="AF12" i="2"/>
  <c r="AG12" i="2" s="1"/>
  <c r="P12" i="1" s="1"/>
  <c r="AE13" i="2"/>
  <c r="Q11" i="1"/>
  <c r="B10" i="4" s="1"/>
  <c r="D10" i="4" s="1"/>
  <c r="K11" i="1"/>
  <c r="Y7" i="5"/>
  <c r="V7" i="5"/>
  <c r="O7" i="2"/>
  <c r="P7" i="2" s="1"/>
  <c r="I7" i="2"/>
  <c r="I9" i="5"/>
  <c r="C11" i="1" l="1"/>
  <c r="K12" i="6" s="1"/>
  <c r="Z7" i="5"/>
  <c r="AA7" i="5"/>
  <c r="Y9" i="5"/>
  <c r="O9" i="2"/>
  <c r="P9" i="2" s="1"/>
  <c r="I9" i="2"/>
  <c r="V9" i="5"/>
  <c r="K7" i="2"/>
  <c r="J7" i="2"/>
  <c r="F7" i="5"/>
  <c r="R7" i="2"/>
  <c r="G7" i="5" s="1"/>
  <c r="Q7" i="2"/>
  <c r="E7" i="5" s="1"/>
  <c r="AJ10" i="2"/>
  <c r="H10" i="2"/>
  <c r="K10" i="5"/>
  <c r="I10" i="5" s="1"/>
  <c r="N10" i="5"/>
  <c r="E10" i="4"/>
  <c r="F10" i="4" s="1"/>
  <c r="G10" i="4" s="1"/>
  <c r="H10" i="4" s="1"/>
  <c r="I10" i="4" s="1"/>
  <c r="G11" i="1"/>
  <c r="AG11" i="6"/>
  <c r="AE11" i="6"/>
  <c r="AC11" i="6"/>
  <c r="X11" i="6"/>
  <c r="W11" i="6"/>
  <c r="L10" i="5"/>
  <c r="M10" i="5" s="1"/>
  <c r="AI11" i="6"/>
  <c r="X7" i="5"/>
  <c r="W7" i="5"/>
  <c r="AE14" i="2"/>
  <c r="AF13" i="2"/>
  <c r="AG13" i="2" s="1"/>
  <c r="P13" i="1" s="1"/>
  <c r="K12" i="1"/>
  <c r="Q12" i="1"/>
  <c r="B11" i="4" s="1"/>
  <c r="D11" i="4" s="1"/>
  <c r="C12" i="1"/>
  <c r="Y8" i="5"/>
  <c r="I8" i="2"/>
  <c r="O8" i="2"/>
  <c r="P8" i="2" s="1"/>
  <c r="V8" i="5"/>
  <c r="B11" i="5" l="1"/>
  <c r="H11" i="5" s="1"/>
  <c r="M11" i="1"/>
  <c r="N11" i="1" s="1"/>
  <c r="J11" i="1"/>
  <c r="AH11" i="2"/>
  <c r="R11" i="1" s="1"/>
  <c r="G11" i="2"/>
  <c r="D12" i="6"/>
  <c r="J11" i="5"/>
  <c r="K11" i="5" s="1"/>
  <c r="M12" i="6"/>
  <c r="O12" i="6"/>
  <c r="Q12" i="6"/>
  <c r="S12" i="6"/>
  <c r="AE12" i="6"/>
  <c r="AC12" i="6"/>
  <c r="AG12" i="6"/>
  <c r="AI12" i="6"/>
  <c r="X12" i="6"/>
  <c r="W12" i="6"/>
  <c r="L11" i="5"/>
  <c r="M11" i="5" s="1"/>
  <c r="Y10" i="5"/>
  <c r="V10" i="5"/>
  <c r="I10" i="2"/>
  <c r="O10" i="2"/>
  <c r="P10" i="2" s="1"/>
  <c r="F8" i="5"/>
  <c r="R8" i="2"/>
  <c r="G8" i="5" s="1"/>
  <c r="Q8" i="2"/>
  <c r="E8" i="5" s="1"/>
  <c r="K8" i="2"/>
  <c r="J8" i="2"/>
  <c r="AA8" i="5"/>
  <c r="Z8" i="5"/>
  <c r="X9" i="5"/>
  <c r="W9" i="5"/>
  <c r="K9" i="2"/>
  <c r="J9" i="2"/>
  <c r="F9" i="5"/>
  <c r="R9" i="2"/>
  <c r="G9" i="5" s="1"/>
  <c r="Q9" i="2"/>
  <c r="E9" i="5" s="1"/>
  <c r="AJ11" i="2"/>
  <c r="H11" i="2"/>
  <c r="N11" i="5"/>
  <c r="W8" i="5"/>
  <c r="X8" i="5"/>
  <c r="S13" i="6"/>
  <c r="Q13" i="6"/>
  <c r="M13" i="6"/>
  <c r="K13" i="6"/>
  <c r="O13" i="6"/>
  <c r="D13" i="6"/>
  <c r="J12" i="5"/>
  <c r="AH12" i="2"/>
  <c r="R12" i="1" s="1"/>
  <c r="J12" i="1"/>
  <c r="G12" i="2"/>
  <c r="B12" i="5"/>
  <c r="H12" i="5" s="1"/>
  <c r="E11" i="4"/>
  <c r="F11" i="4" s="1"/>
  <c r="G11" i="4" s="1"/>
  <c r="H11" i="4" s="1"/>
  <c r="I11" i="4" s="1"/>
  <c r="M12" i="1"/>
  <c r="N12" i="1" s="1"/>
  <c r="G12" i="1"/>
  <c r="Z9" i="5"/>
  <c r="AA9" i="5"/>
  <c r="K13" i="1"/>
  <c r="Q13" i="1"/>
  <c r="B12" i="4" s="1"/>
  <c r="D12" i="4" s="1"/>
  <c r="AE15" i="2"/>
  <c r="AF14" i="2"/>
  <c r="AG14" i="2" s="1"/>
  <c r="P14" i="1" s="1"/>
  <c r="I11" i="5" l="1"/>
  <c r="E12" i="4"/>
  <c r="F12" i="4" s="1"/>
  <c r="G12" i="4" s="1"/>
  <c r="H12" i="4" s="1"/>
  <c r="I12" i="4" s="1"/>
  <c r="F10" i="5"/>
  <c r="R10" i="2"/>
  <c r="G10" i="5" s="1"/>
  <c r="Q10" i="2"/>
  <c r="E10" i="5" s="1"/>
  <c r="AA10" i="5"/>
  <c r="Z10" i="5"/>
  <c r="X13" i="6"/>
  <c r="W13" i="6"/>
  <c r="AG13" i="6"/>
  <c r="AE13" i="6"/>
  <c r="AI13" i="6"/>
  <c r="L12" i="5"/>
  <c r="M12" i="5" s="1"/>
  <c r="AC13" i="6"/>
  <c r="K12" i="5"/>
  <c r="I12" i="5" s="1"/>
  <c r="N12" i="5"/>
  <c r="C13" i="1"/>
  <c r="AE16" i="2"/>
  <c r="AF15" i="2"/>
  <c r="AG15" i="2" s="1"/>
  <c r="P15" i="1" s="1"/>
  <c r="G13" i="1"/>
  <c r="X10" i="5"/>
  <c r="W10" i="5"/>
  <c r="AJ12" i="2"/>
  <c r="H12" i="2"/>
  <c r="Q14" i="1"/>
  <c r="B13" i="4" s="1"/>
  <c r="D13" i="4" s="1"/>
  <c r="K14" i="1"/>
  <c r="K10" i="2"/>
  <c r="J10" i="2"/>
  <c r="Y11" i="5"/>
  <c r="V11" i="5"/>
  <c r="I11" i="2"/>
  <c r="O11" i="2"/>
  <c r="P11" i="2" s="1"/>
  <c r="AF16" i="2" l="1"/>
  <c r="AG16" i="2" s="1"/>
  <c r="P16" i="1" s="1"/>
  <c r="AE17" i="2"/>
  <c r="W11" i="5"/>
  <c r="X11" i="5"/>
  <c r="E13" i="4"/>
  <c r="F13" i="4" s="1"/>
  <c r="G13" i="4" s="1"/>
  <c r="H13" i="4" s="1"/>
  <c r="I13" i="4" s="1"/>
  <c r="Y12" i="5"/>
  <c r="V12" i="5"/>
  <c r="I12" i="2"/>
  <c r="O12" i="2"/>
  <c r="P12" i="2" s="1"/>
  <c r="D14" i="6"/>
  <c r="O14" i="6"/>
  <c r="K14" i="6"/>
  <c r="S14" i="6"/>
  <c r="Q14" i="6"/>
  <c r="M14" i="6"/>
  <c r="J13" i="5"/>
  <c r="AH13" i="2"/>
  <c r="R13" i="1" s="1"/>
  <c r="G13" i="2"/>
  <c r="J13" i="1"/>
  <c r="B13" i="5"/>
  <c r="H13" i="5" s="1"/>
  <c r="F11" i="5"/>
  <c r="R11" i="2"/>
  <c r="G11" i="5" s="1"/>
  <c r="Q11" i="2"/>
  <c r="E11" i="5" s="1"/>
  <c r="Z11" i="5"/>
  <c r="AA11" i="5"/>
  <c r="C14" i="1"/>
  <c r="K15" i="1"/>
  <c r="Q15" i="1"/>
  <c r="B14" i="4" s="1"/>
  <c r="D14" i="4" s="1"/>
  <c r="K11" i="2"/>
  <c r="J11" i="2"/>
  <c r="M14" i="1"/>
  <c r="N14" i="1" s="1"/>
  <c r="G14" i="1"/>
  <c r="M13" i="1"/>
  <c r="N13" i="1" s="1"/>
  <c r="N13" i="5" l="1"/>
  <c r="K13" i="5"/>
  <c r="X12" i="5"/>
  <c r="W12" i="5"/>
  <c r="AJ13" i="2"/>
  <c r="H13" i="2"/>
  <c r="C15" i="1"/>
  <c r="M15" i="1" s="1"/>
  <c r="N15" i="1" s="1"/>
  <c r="S15" i="6"/>
  <c r="O15" i="6"/>
  <c r="M15" i="6"/>
  <c r="K15" i="6"/>
  <c r="Q15" i="6"/>
  <c r="D15" i="6"/>
  <c r="G14" i="2"/>
  <c r="J14" i="5"/>
  <c r="AH14" i="2"/>
  <c r="R14" i="1" s="1"/>
  <c r="J14" i="1"/>
  <c r="B14" i="5"/>
  <c r="H14" i="5" s="1"/>
  <c r="AI14" i="6"/>
  <c r="AG14" i="6"/>
  <c r="AE14" i="6"/>
  <c r="AC14" i="6"/>
  <c r="X14" i="6"/>
  <c r="W14" i="6"/>
  <c r="L13" i="5"/>
  <c r="M13" i="5" s="1"/>
  <c r="E14" i="4"/>
  <c r="F14" i="4" s="1"/>
  <c r="G14" i="4" s="1"/>
  <c r="H14" i="4" s="1"/>
  <c r="I14" i="4" s="1"/>
  <c r="G15" i="1"/>
  <c r="AF17" i="2"/>
  <c r="AG17" i="2" s="1"/>
  <c r="P17" i="1" s="1"/>
  <c r="AE18" i="2"/>
  <c r="F12" i="5"/>
  <c r="R12" i="2"/>
  <c r="G12" i="5" s="1"/>
  <c r="Q12" i="2"/>
  <c r="E12" i="5" s="1"/>
  <c r="K12" i="2"/>
  <c r="J12" i="2"/>
  <c r="AA12" i="5"/>
  <c r="Z12" i="5"/>
  <c r="I13" i="5"/>
  <c r="Q16" i="1"/>
  <c r="B15" i="4" s="1"/>
  <c r="D15" i="4" s="1"/>
  <c r="K16" i="1"/>
  <c r="AJ14" i="2" l="1"/>
  <c r="H14" i="2"/>
  <c r="E15" i="4"/>
  <c r="F15" i="4" s="1"/>
  <c r="G15" i="4" s="1"/>
  <c r="H15" i="4" s="1"/>
  <c r="I15" i="4" s="1"/>
  <c r="AI15" i="6"/>
  <c r="AE15" i="6"/>
  <c r="X15" i="6"/>
  <c r="W15" i="6"/>
  <c r="AG15" i="6"/>
  <c r="AC15" i="6"/>
  <c r="L14" i="5"/>
  <c r="M14" i="5" s="1"/>
  <c r="N14" i="5"/>
  <c r="K14" i="5"/>
  <c r="V13" i="5"/>
  <c r="I13" i="2"/>
  <c r="Y13" i="5"/>
  <c r="O13" i="2"/>
  <c r="P13" i="2" s="1"/>
  <c r="I14" i="5"/>
  <c r="K17" i="1"/>
  <c r="Q17" i="1"/>
  <c r="B16" i="4" s="1"/>
  <c r="D16" i="4" s="1"/>
  <c r="K16" i="6"/>
  <c r="D16" i="6"/>
  <c r="M16" i="6"/>
  <c r="O16" i="6"/>
  <c r="Q16" i="6"/>
  <c r="S16" i="6"/>
  <c r="J15" i="5"/>
  <c r="G15" i="2"/>
  <c r="AH15" i="2"/>
  <c r="R15" i="1" s="1"/>
  <c r="J15" i="1"/>
  <c r="B15" i="5"/>
  <c r="H15" i="5" s="1"/>
  <c r="C16" i="1"/>
  <c r="AE19" i="2"/>
  <c r="AF18" i="2"/>
  <c r="AG18" i="2" s="1"/>
  <c r="P18" i="1" s="1"/>
  <c r="M16" i="1"/>
  <c r="N16" i="1" s="1"/>
  <c r="G16" i="1"/>
  <c r="C17" i="1" l="1"/>
  <c r="M17" i="1" s="1"/>
  <c r="N17" i="1" s="1"/>
  <c r="G17" i="1"/>
  <c r="AA13" i="5"/>
  <c r="Z13" i="5"/>
  <c r="J13" i="2"/>
  <c r="K13" i="2"/>
  <c r="Q17" i="6"/>
  <c r="O17" i="6"/>
  <c r="D17" i="6"/>
  <c r="S17" i="6"/>
  <c r="M17" i="6"/>
  <c r="K17" i="6"/>
  <c r="J16" i="5"/>
  <c r="J16" i="1"/>
  <c r="G16" i="2"/>
  <c r="AH16" i="2"/>
  <c r="R16" i="1" s="1"/>
  <c r="B16" i="5"/>
  <c r="H16" i="5" s="1"/>
  <c r="M18" i="6"/>
  <c r="K18" i="6"/>
  <c r="Q18" i="6"/>
  <c r="S18" i="6"/>
  <c r="D18" i="6"/>
  <c r="O18" i="6"/>
  <c r="AH17" i="2"/>
  <c r="R17" i="1" s="1"/>
  <c r="J17" i="5"/>
  <c r="G17" i="2"/>
  <c r="J17" i="1"/>
  <c r="B17" i="5"/>
  <c r="H17" i="5" s="1"/>
  <c r="F13" i="5"/>
  <c r="Q13" i="2"/>
  <c r="E13" i="5" s="1"/>
  <c r="R13" i="2"/>
  <c r="G13" i="5" s="1"/>
  <c r="K18" i="1"/>
  <c r="Q18" i="1"/>
  <c r="B17" i="4" s="1"/>
  <c r="D17" i="4" s="1"/>
  <c r="AF19" i="2"/>
  <c r="AG19" i="2" s="1"/>
  <c r="P19" i="1" s="1"/>
  <c r="AE20" i="2"/>
  <c r="AJ15" i="2"/>
  <c r="H15" i="2"/>
  <c r="N15" i="5"/>
  <c r="K15" i="5"/>
  <c r="I15" i="5" s="1"/>
  <c r="Y14" i="5"/>
  <c r="V14" i="5"/>
  <c r="O14" i="2"/>
  <c r="P14" i="2" s="1"/>
  <c r="I14" i="2"/>
  <c r="W13" i="5"/>
  <c r="X13" i="5"/>
  <c r="AI16" i="6"/>
  <c r="AG16" i="6"/>
  <c r="X16" i="6"/>
  <c r="AE16" i="6"/>
  <c r="AC16" i="6"/>
  <c r="W16" i="6"/>
  <c r="L15" i="5"/>
  <c r="M15" i="5" s="1"/>
  <c r="E16" i="4"/>
  <c r="F16" i="4" s="1"/>
  <c r="G16" i="4" s="1"/>
  <c r="H16" i="4" s="1"/>
  <c r="I16" i="4" s="1"/>
  <c r="AE21" i="2" l="1"/>
  <c r="AF20" i="2"/>
  <c r="AG20" i="2" s="1"/>
  <c r="P20" i="1" s="1"/>
  <c r="Y15" i="5"/>
  <c r="V15" i="5"/>
  <c r="O15" i="2"/>
  <c r="P15" i="2" s="1"/>
  <c r="I15" i="2"/>
  <c r="AJ16" i="2"/>
  <c r="H16" i="2"/>
  <c r="M18" i="1"/>
  <c r="N18" i="1" s="1"/>
  <c r="G18" i="1"/>
  <c r="W17" i="6"/>
  <c r="AC17" i="6"/>
  <c r="X17" i="6"/>
  <c r="L16" i="5"/>
  <c r="M16" i="5" s="1"/>
  <c r="AI17" i="6"/>
  <c r="AG17" i="6"/>
  <c r="AE17" i="6"/>
  <c r="E17" i="4"/>
  <c r="F17" i="4" s="1"/>
  <c r="G17" i="4" s="1"/>
  <c r="H17" i="4" s="1"/>
  <c r="I17" i="4" s="1"/>
  <c r="F14" i="5"/>
  <c r="Q14" i="2"/>
  <c r="E14" i="5" s="1"/>
  <c r="R14" i="2"/>
  <c r="G14" i="5" s="1"/>
  <c r="Q19" i="1"/>
  <c r="B18" i="4" s="1"/>
  <c r="D18" i="4" s="1"/>
  <c r="K19" i="1"/>
  <c r="C19" i="1"/>
  <c r="C18" i="1"/>
  <c r="K16" i="5"/>
  <c r="I16" i="5" s="1"/>
  <c r="N16" i="5"/>
  <c r="AJ17" i="2"/>
  <c r="H17" i="2"/>
  <c r="K14" i="2"/>
  <c r="J14" i="2"/>
  <c r="K17" i="5"/>
  <c r="I17" i="5" s="1"/>
  <c r="N17" i="5"/>
  <c r="AE18" i="6"/>
  <c r="W18" i="6"/>
  <c r="AI18" i="6"/>
  <c r="AC18" i="6"/>
  <c r="X18" i="6"/>
  <c r="L17" i="5"/>
  <c r="M17" i="5" s="1"/>
  <c r="AG18" i="6"/>
  <c r="W14" i="5"/>
  <c r="X14" i="5"/>
  <c r="Z14" i="5"/>
  <c r="AA14" i="5"/>
  <c r="Y16" i="5" l="1"/>
  <c r="V16" i="5"/>
  <c r="I16" i="2"/>
  <c r="O16" i="2"/>
  <c r="P16" i="2" s="1"/>
  <c r="K15" i="2"/>
  <c r="J15" i="2"/>
  <c r="O20" i="6"/>
  <c r="M20" i="6"/>
  <c r="D20" i="6"/>
  <c r="K20" i="6"/>
  <c r="Q20" i="6"/>
  <c r="S20" i="6"/>
  <c r="J19" i="5"/>
  <c r="G19" i="2"/>
  <c r="J19" i="1"/>
  <c r="AH19" i="2"/>
  <c r="R19" i="1" s="1"/>
  <c r="B19" i="5"/>
  <c r="H19" i="5" s="1"/>
  <c r="F15" i="5"/>
  <c r="Q15" i="2"/>
  <c r="E15" i="5" s="1"/>
  <c r="R15" i="2"/>
  <c r="G15" i="5" s="1"/>
  <c r="AA15" i="5"/>
  <c r="Z15" i="5"/>
  <c r="Y17" i="5"/>
  <c r="V17" i="5"/>
  <c r="O17" i="2"/>
  <c r="P17" i="2" s="1"/>
  <c r="I17" i="2"/>
  <c r="D19" i="6"/>
  <c r="S19" i="6"/>
  <c r="Q19" i="6"/>
  <c r="M19" i="6"/>
  <c r="K19" i="6"/>
  <c r="O19" i="6"/>
  <c r="J18" i="5"/>
  <c r="AH18" i="2"/>
  <c r="R18" i="1" s="1"/>
  <c r="G18" i="2"/>
  <c r="J18" i="1"/>
  <c r="B18" i="5"/>
  <c r="H18" i="5" s="1"/>
  <c r="M19" i="1"/>
  <c r="N19" i="1" s="1"/>
  <c r="G19" i="1"/>
  <c r="F18" i="4"/>
  <c r="G18" i="4" s="1"/>
  <c r="H18" i="4" s="1"/>
  <c r="I18" i="4" s="1"/>
  <c r="E18" i="4"/>
  <c r="X15" i="5"/>
  <c r="W15" i="5"/>
  <c r="Q20" i="1"/>
  <c r="B19" i="4" s="1"/>
  <c r="D19" i="4" s="1"/>
  <c r="K20" i="1"/>
  <c r="AF21" i="2"/>
  <c r="AG21" i="2" s="1"/>
  <c r="P21" i="1" s="1"/>
  <c r="AE22" i="2"/>
  <c r="C20" i="1" l="1"/>
  <c r="AJ18" i="2"/>
  <c r="H18" i="2"/>
  <c r="K19" i="5"/>
  <c r="I19" i="5" s="1"/>
  <c r="N19" i="5"/>
  <c r="D21" i="6"/>
  <c r="S21" i="6"/>
  <c r="Q21" i="6"/>
  <c r="O21" i="6"/>
  <c r="M21" i="6"/>
  <c r="J20" i="1"/>
  <c r="K21" i="6"/>
  <c r="J20" i="5"/>
  <c r="G20" i="2"/>
  <c r="AH20" i="2"/>
  <c r="R20" i="1" s="1"/>
  <c r="B20" i="5"/>
  <c r="H20" i="5" s="1"/>
  <c r="F16" i="5"/>
  <c r="Q16" i="2"/>
  <c r="E16" i="5" s="1"/>
  <c r="R16" i="2"/>
  <c r="G16" i="5" s="1"/>
  <c r="I18" i="5"/>
  <c r="AJ19" i="2"/>
  <c r="H19" i="2"/>
  <c r="AE23" i="2"/>
  <c r="AF22" i="2"/>
  <c r="AG22" i="2" s="1"/>
  <c r="P22" i="1" s="1"/>
  <c r="J17" i="2"/>
  <c r="K17" i="2"/>
  <c r="F17" i="5"/>
  <c r="Q17" i="2"/>
  <c r="E17" i="5" s="1"/>
  <c r="R17" i="2"/>
  <c r="G17" i="5" s="1"/>
  <c r="Z17" i="5"/>
  <c r="AA17" i="5"/>
  <c r="K16" i="2"/>
  <c r="J16" i="2"/>
  <c r="AI20" i="6"/>
  <c r="AE20" i="6"/>
  <c r="AG20" i="6"/>
  <c r="AC20" i="6"/>
  <c r="W20" i="6"/>
  <c r="X20" i="6"/>
  <c r="L19" i="5"/>
  <c r="M19" i="5" s="1"/>
  <c r="K18" i="5"/>
  <c r="N18" i="5"/>
  <c r="Q21" i="1"/>
  <c r="B20" i="4" s="1"/>
  <c r="D20" i="4" s="1"/>
  <c r="K21" i="1"/>
  <c r="C21" i="1"/>
  <c r="E19" i="4"/>
  <c r="F19" i="4" s="1"/>
  <c r="G19" i="4" s="1"/>
  <c r="H19" i="4" s="1"/>
  <c r="I19" i="4" s="1"/>
  <c r="X16" i="5"/>
  <c r="W16" i="5"/>
  <c r="X19" i="6"/>
  <c r="W19" i="6"/>
  <c r="AI19" i="6"/>
  <c r="AE19" i="6"/>
  <c r="L18" i="5"/>
  <c r="M18" i="5" s="1"/>
  <c r="AC19" i="6"/>
  <c r="AG19" i="6"/>
  <c r="G20" i="1"/>
  <c r="M20" i="1"/>
  <c r="N20" i="1" s="1"/>
  <c r="W17" i="5"/>
  <c r="X17" i="5"/>
  <c r="AA16" i="5"/>
  <c r="Z16" i="5"/>
  <c r="E20" i="4" l="1"/>
  <c r="F20" i="4" s="1"/>
  <c r="G20" i="4" s="1"/>
  <c r="H20" i="4" s="1"/>
  <c r="I20" i="4" s="1"/>
  <c r="V18" i="5"/>
  <c r="Y18" i="5"/>
  <c r="I18" i="2"/>
  <c r="O18" i="2"/>
  <c r="P18" i="2" s="1"/>
  <c r="M21" i="1"/>
  <c r="N21" i="1" s="1"/>
  <c r="G21" i="1"/>
  <c r="Y19" i="5"/>
  <c r="V19" i="5"/>
  <c r="O19" i="2"/>
  <c r="P19" i="2" s="1"/>
  <c r="I19" i="2"/>
  <c r="AC21" i="6"/>
  <c r="X21" i="6"/>
  <c r="W21" i="6"/>
  <c r="AI21" i="6"/>
  <c r="AG21" i="6"/>
  <c r="L20" i="5"/>
  <c r="M20" i="5" s="1"/>
  <c r="AE21" i="6"/>
  <c r="AJ20" i="2"/>
  <c r="H20" i="2"/>
  <c r="N20" i="5"/>
  <c r="K20" i="5"/>
  <c r="I20" i="5" s="1"/>
  <c r="Q22" i="6"/>
  <c r="O22" i="6"/>
  <c r="K22" i="6"/>
  <c r="D22" i="6"/>
  <c r="M22" i="6"/>
  <c r="J21" i="5"/>
  <c r="S22" i="6"/>
  <c r="AH21" i="2"/>
  <c r="R21" i="1" s="1"/>
  <c r="J21" i="1"/>
  <c r="G21" i="2"/>
  <c r="B21" i="5"/>
  <c r="H21" i="5" s="1"/>
  <c r="Q22" i="1"/>
  <c r="B21" i="4" s="1"/>
  <c r="D21" i="4" s="1"/>
  <c r="K22" i="1"/>
  <c r="AF23" i="2"/>
  <c r="AG23" i="2" s="1"/>
  <c r="P23" i="1" s="1"/>
  <c r="AE24" i="2"/>
  <c r="C22" i="1" l="1"/>
  <c r="K23" i="1"/>
  <c r="Q23" i="1"/>
  <c r="B22" i="4" s="1"/>
  <c r="D22" i="4" s="1"/>
  <c r="C23" i="1"/>
  <c r="O23" i="6"/>
  <c r="D23" i="6"/>
  <c r="S23" i="6"/>
  <c r="M23" i="6"/>
  <c r="K23" i="6"/>
  <c r="Q23" i="6"/>
  <c r="J22" i="5"/>
  <c r="AH22" i="2"/>
  <c r="R22" i="1" s="1"/>
  <c r="G22" i="2"/>
  <c r="J22" i="1"/>
  <c r="B22" i="5"/>
  <c r="H22" i="5" s="1"/>
  <c r="AF24" i="2"/>
  <c r="AG24" i="2" s="1"/>
  <c r="P24" i="1" s="1"/>
  <c r="AE25" i="2"/>
  <c r="I21" i="5"/>
  <c r="AJ21" i="2"/>
  <c r="H21" i="2"/>
  <c r="F19" i="5"/>
  <c r="R19" i="2"/>
  <c r="G19" i="5" s="1"/>
  <c r="Q19" i="2"/>
  <c r="E19" i="5" s="1"/>
  <c r="AA19" i="5"/>
  <c r="Z19" i="5"/>
  <c r="Z18" i="5"/>
  <c r="AA18" i="5"/>
  <c r="G22" i="1"/>
  <c r="M22" i="1"/>
  <c r="N22" i="1" s="1"/>
  <c r="AI22" i="6"/>
  <c r="L21" i="5"/>
  <c r="M21" i="5" s="1"/>
  <c r="W22" i="6"/>
  <c r="AG22" i="6"/>
  <c r="AE22" i="6"/>
  <c r="AC22" i="6"/>
  <c r="X22" i="6"/>
  <c r="W19" i="5"/>
  <c r="X19" i="5"/>
  <c r="F18" i="5"/>
  <c r="R18" i="2"/>
  <c r="G18" i="5" s="1"/>
  <c r="Q18" i="2"/>
  <c r="E18" i="5" s="1"/>
  <c r="X18" i="5"/>
  <c r="W18" i="5"/>
  <c r="Y20" i="5"/>
  <c r="O20" i="2"/>
  <c r="P20" i="2" s="1"/>
  <c r="V20" i="5"/>
  <c r="I20" i="2"/>
  <c r="E21" i="4"/>
  <c r="F21" i="4" s="1"/>
  <c r="G21" i="4" s="1"/>
  <c r="H21" i="4" s="1"/>
  <c r="I21" i="4" s="1"/>
  <c r="K19" i="2"/>
  <c r="J19" i="2"/>
  <c r="K21" i="5"/>
  <c r="N21" i="5"/>
  <c r="K18" i="2"/>
  <c r="J18" i="2"/>
  <c r="V21" i="5" l="1"/>
  <c r="Y21" i="5"/>
  <c r="O21" i="2"/>
  <c r="P21" i="2" s="1"/>
  <c r="I21" i="2"/>
  <c r="AJ22" i="2"/>
  <c r="H22" i="2"/>
  <c r="K22" i="5"/>
  <c r="N22" i="5"/>
  <c r="X20" i="5"/>
  <c r="W20" i="5"/>
  <c r="Q24" i="1"/>
  <c r="B23" i="4" s="1"/>
  <c r="D23" i="4" s="1"/>
  <c r="K24" i="1"/>
  <c r="I22" i="5"/>
  <c r="AG23" i="6"/>
  <c r="AE23" i="6"/>
  <c r="AC23" i="6"/>
  <c r="W23" i="6"/>
  <c r="X23" i="6"/>
  <c r="AI23" i="6"/>
  <c r="L22" i="5"/>
  <c r="M22" i="5" s="1"/>
  <c r="S24" i="6"/>
  <c r="Q24" i="6"/>
  <c r="D24" i="6"/>
  <c r="M24" i="6"/>
  <c r="K24" i="6"/>
  <c r="O24" i="6"/>
  <c r="J23" i="5"/>
  <c r="J23" i="1"/>
  <c r="AH23" i="2"/>
  <c r="R23" i="1" s="1"/>
  <c r="G23" i="2"/>
  <c r="B23" i="5"/>
  <c r="H23" i="5" s="1"/>
  <c r="AF25" i="2"/>
  <c r="AG25" i="2" s="1"/>
  <c r="P25" i="1" s="1"/>
  <c r="AE26" i="2"/>
  <c r="K20" i="2"/>
  <c r="J20" i="2"/>
  <c r="F20" i="5"/>
  <c r="R20" i="2"/>
  <c r="G20" i="5" s="1"/>
  <c r="Q20" i="2"/>
  <c r="E20" i="5" s="1"/>
  <c r="AA20" i="5"/>
  <c r="Z20" i="5"/>
  <c r="E22" i="4"/>
  <c r="F22" i="4"/>
  <c r="G22" i="4" s="1"/>
  <c r="H22" i="4" s="1"/>
  <c r="I22" i="4" s="1"/>
  <c r="M23" i="1"/>
  <c r="N23" i="1" s="1"/>
  <c r="G23" i="1"/>
  <c r="G24" i="1" l="1"/>
  <c r="AJ23" i="2"/>
  <c r="H23" i="2"/>
  <c r="J21" i="2"/>
  <c r="K21" i="2"/>
  <c r="AG24" i="6"/>
  <c r="AC24" i="6"/>
  <c r="X24" i="6"/>
  <c r="W24" i="6"/>
  <c r="AE24" i="6"/>
  <c r="L23" i="5"/>
  <c r="M23" i="5" s="1"/>
  <c r="AI24" i="6"/>
  <c r="Y22" i="5"/>
  <c r="V22" i="5"/>
  <c r="O22" i="2"/>
  <c r="P22" i="2" s="1"/>
  <c r="I22" i="2"/>
  <c r="F21" i="5"/>
  <c r="R21" i="2"/>
  <c r="G21" i="5" s="1"/>
  <c r="Q21" i="2"/>
  <c r="E21" i="5" s="1"/>
  <c r="Q25" i="1"/>
  <c r="B24" i="4" s="1"/>
  <c r="D24" i="4" s="1"/>
  <c r="K25" i="1"/>
  <c r="C24" i="1"/>
  <c r="K23" i="5"/>
  <c r="I23" i="5" s="1"/>
  <c r="N23" i="5"/>
  <c r="AA21" i="5"/>
  <c r="Z21" i="5"/>
  <c r="AE27" i="2"/>
  <c r="AF26" i="2"/>
  <c r="AG26" i="2" s="1"/>
  <c r="P26" i="1" s="1"/>
  <c r="E23" i="4"/>
  <c r="F23" i="4" s="1"/>
  <c r="G23" i="4" s="1"/>
  <c r="H23" i="4" s="1"/>
  <c r="I23" i="4" s="1"/>
  <c r="X21" i="5"/>
  <c r="W21" i="5"/>
  <c r="X22" i="5" l="1"/>
  <c r="W22" i="5"/>
  <c r="K22" i="2"/>
  <c r="J22" i="2"/>
  <c r="F22" i="5"/>
  <c r="R22" i="2"/>
  <c r="G22" i="5" s="1"/>
  <c r="Q22" i="2"/>
  <c r="E22" i="5" s="1"/>
  <c r="Z22" i="5"/>
  <c r="AA22" i="5"/>
  <c r="Q26" i="1"/>
  <c r="B25" i="4" s="1"/>
  <c r="D25" i="4" s="1"/>
  <c r="K26" i="1"/>
  <c r="C26" i="1"/>
  <c r="K25" i="6"/>
  <c r="S25" i="6"/>
  <c r="Q25" i="6"/>
  <c r="O25" i="6"/>
  <c r="M25" i="6"/>
  <c r="J24" i="5"/>
  <c r="D25" i="6"/>
  <c r="AH24" i="2"/>
  <c r="R24" i="1" s="1"/>
  <c r="G24" i="2"/>
  <c r="J24" i="1"/>
  <c r="B24" i="5"/>
  <c r="H24" i="5" s="1"/>
  <c r="E24" i="4"/>
  <c r="F24" i="4" s="1"/>
  <c r="G24" i="4" s="1"/>
  <c r="H24" i="4" s="1"/>
  <c r="I24" i="4" s="1"/>
  <c r="M24" i="1"/>
  <c r="N24" i="1" s="1"/>
  <c r="AE28" i="2"/>
  <c r="AF27" i="2"/>
  <c r="AG27" i="2" s="1"/>
  <c r="P27" i="1" s="1"/>
  <c r="Y23" i="5"/>
  <c r="V23" i="5"/>
  <c r="I23" i="2"/>
  <c r="O23" i="2"/>
  <c r="P23" i="2" s="1"/>
  <c r="G25" i="1"/>
  <c r="C25" i="1"/>
  <c r="N24" i="5" l="1"/>
  <c r="K24" i="5"/>
  <c r="E25" i="4"/>
  <c r="F25" i="4" s="1"/>
  <c r="G25" i="4" s="1"/>
  <c r="H25" i="4" s="1"/>
  <c r="I25" i="4" s="1"/>
  <c r="Z23" i="5"/>
  <c r="AA23" i="5"/>
  <c r="X23" i="5"/>
  <c r="W23" i="5"/>
  <c r="S26" i="6"/>
  <c r="M26" i="6"/>
  <c r="Q26" i="6"/>
  <c r="O26" i="6"/>
  <c r="K26" i="6"/>
  <c r="J25" i="5"/>
  <c r="D26" i="6"/>
  <c r="J25" i="1"/>
  <c r="AH25" i="2"/>
  <c r="R25" i="1" s="1"/>
  <c r="G25" i="2"/>
  <c r="B25" i="5"/>
  <c r="H25" i="5" s="1"/>
  <c r="M27" i="6"/>
  <c r="K27" i="6"/>
  <c r="D27" i="6"/>
  <c r="O27" i="6"/>
  <c r="S27" i="6"/>
  <c r="Q27" i="6"/>
  <c r="J26" i="5"/>
  <c r="G26" i="2"/>
  <c r="J26" i="1"/>
  <c r="AH26" i="2"/>
  <c r="R26" i="1" s="1"/>
  <c r="B26" i="5"/>
  <c r="H26" i="5" s="1"/>
  <c r="K23" i="2"/>
  <c r="J23" i="2"/>
  <c r="K27" i="1"/>
  <c r="Q27" i="1"/>
  <c r="B26" i="4" s="1"/>
  <c r="D26" i="4" s="1"/>
  <c r="AI25" i="6"/>
  <c r="AG25" i="6"/>
  <c r="AE25" i="6"/>
  <c r="W25" i="6"/>
  <c r="X25" i="6"/>
  <c r="AC25" i="6"/>
  <c r="L24" i="5"/>
  <c r="M24" i="5" s="1"/>
  <c r="M25" i="1"/>
  <c r="N25" i="1" s="1"/>
  <c r="F23" i="5"/>
  <c r="R23" i="2"/>
  <c r="G23" i="5" s="1"/>
  <c r="Q23" i="2"/>
  <c r="E23" i="5" s="1"/>
  <c r="G26" i="1"/>
  <c r="M26" i="1"/>
  <c r="N26" i="1" s="1"/>
  <c r="AF28" i="2"/>
  <c r="AG28" i="2" s="1"/>
  <c r="P28" i="1" s="1"/>
  <c r="AE29" i="2"/>
  <c r="I24" i="5"/>
  <c r="AJ24" i="2"/>
  <c r="H24" i="2"/>
  <c r="AI26" i="6" l="1"/>
  <c r="AE26" i="6"/>
  <c r="W26" i="6"/>
  <c r="AG26" i="6"/>
  <c r="AC26" i="6"/>
  <c r="X26" i="6"/>
  <c r="L25" i="5"/>
  <c r="M25" i="5" s="1"/>
  <c r="C27" i="1"/>
  <c r="Y24" i="5"/>
  <c r="V24" i="5"/>
  <c r="O24" i="2"/>
  <c r="P24" i="2" s="1"/>
  <c r="I24" i="2"/>
  <c r="Q28" i="1"/>
  <c r="B27" i="4" s="1"/>
  <c r="D27" i="4" s="1"/>
  <c r="K28" i="1"/>
  <c r="AJ25" i="2"/>
  <c r="H25" i="2"/>
  <c r="G27" i="1"/>
  <c r="M27" i="1"/>
  <c r="N27" i="1" s="1"/>
  <c r="AE30" i="2"/>
  <c r="AF29" i="2"/>
  <c r="AG29" i="2" s="1"/>
  <c r="P29" i="1" s="1"/>
  <c r="E26" i="4"/>
  <c r="F26" i="4" s="1"/>
  <c r="G26" i="4" s="1"/>
  <c r="H26" i="4" s="1"/>
  <c r="I26" i="4" s="1"/>
  <c r="AJ26" i="2"/>
  <c r="H26" i="2"/>
  <c r="K26" i="5"/>
  <c r="I26" i="5" s="1"/>
  <c r="N26" i="5"/>
  <c r="N25" i="5"/>
  <c r="K25" i="5"/>
  <c r="I25" i="5" s="1"/>
  <c r="AI27" i="6"/>
  <c r="AC27" i="6"/>
  <c r="AG27" i="6"/>
  <c r="AE27" i="6"/>
  <c r="W27" i="6"/>
  <c r="L26" i="5"/>
  <c r="M26" i="5" s="1"/>
  <c r="X27" i="6"/>
  <c r="AE31" i="2" l="1"/>
  <c r="AF30" i="2"/>
  <c r="AG30" i="2" s="1"/>
  <c r="P30" i="1" s="1"/>
  <c r="E27" i="4"/>
  <c r="F27" i="4" s="1"/>
  <c r="G27" i="4" s="1"/>
  <c r="H27" i="4" s="1"/>
  <c r="I27" i="4" s="1"/>
  <c r="F24" i="5"/>
  <c r="R24" i="2"/>
  <c r="G24" i="5" s="1"/>
  <c r="Q24" i="2"/>
  <c r="E24" i="5" s="1"/>
  <c r="V26" i="5"/>
  <c r="Y26" i="5"/>
  <c r="I26" i="2"/>
  <c r="O26" i="2"/>
  <c r="P26" i="2" s="1"/>
  <c r="C28" i="1"/>
  <c r="X24" i="5"/>
  <c r="W24" i="5"/>
  <c r="K24" i="2"/>
  <c r="J24" i="2"/>
  <c r="Z24" i="5"/>
  <c r="AA24" i="5"/>
  <c r="Y25" i="5"/>
  <c r="V25" i="5"/>
  <c r="O25" i="2"/>
  <c r="P25" i="2" s="1"/>
  <c r="I25" i="2"/>
  <c r="G28" i="1"/>
  <c r="D28" i="6"/>
  <c r="Q28" i="6"/>
  <c r="O28" i="6"/>
  <c r="K28" i="6"/>
  <c r="S28" i="6"/>
  <c r="M28" i="6"/>
  <c r="J27" i="5"/>
  <c r="G27" i="2"/>
  <c r="J27" i="1"/>
  <c r="AH27" i="2"/>
  <c r="R27" i="1" s="1"/>
  <c r="B27" i="5"/>
  <c r="H27" i="5" s="1"/>
  <c r="K29" i="1"/>
  <c r="Q29" i="1"/>
  <c r="B28" i="4" s="1"/>
  <c r="D28" i="4" s="1"/>
  <c r="X25" i="5" l="1"/>
  <c r="W25" i="5"/>
  <c r="E28" i="4"/>
  <c r="F28" i="4" s="1"/>
  <c r="G28" i="4" s="1"/>
  <c r="H28" i="4" s="1"/>
  <c r="I28" i="4" s="1"/>
  <c r="X28" i="6"/>
  <c r="W28" i="6"/>
  <c r="AG28" i="6"/>
  <c r="AI28" i="6"/>
  <c r="AE28" i="6"/>
  <c r="AC28" i="6"/>
  <c r="L27" i="5"/>
  <c r="M27" i="5" s="1"/>
  <c r="X26" i="5"/>
  <c r="W26" i="5"/>
  <c r="Z25" i="5"/>
  <c r="AA25" i="5"/>
  <c r="F26" i="5"/>
  <c r="R26" i="2"/>
  <c r="G26" i="5" s="1"/>
  <c r="Q26" i="2"/>
  <c r="E26" i="5" s="1"/>
  <c r="G29" i="1"/>
  <c r="C29" i="1"/>
  <c r="M29" i="1" s="1"/>
  <c r="N29" i="1" s="1"/>
  <c r="O29" i="6"/>
  <c r="M29" i="6"/>
  <c r="Q29" i="6"/>
  <c r="K29" i="6"/>
  <c r="D29" i="6"/>
  <c r="S29" i="6"/>
  <c r="AH28" i="2"/>
  <c r="R28" i="1" s="1"/>
  <c r="G28" i="2"/>
  <c r="J28" i="1"/>
  <c r="J28" i="5"/>
  <c r="B28" i="5"/>
  <c r="H28" i="5" s="1"/>
  <c r="K26" i="2"/>
  <c r="J26" i="2"/>
  <c r="Q30" i="1"/>
  <c r="B29" i="4" s="1"/>
  <c r="D29" i="4" s="1"/>
  <c r="K30" i="1"/>
  <c r="C30" i="1"/>
  <c r="AJ27" i="2"/>
  <c r="H27" i="2"/>
  <c r="K27" i="5"/>
  <c r="I27" i="5" s="1"/>
  <c r="N27" i="5"/>
  <c r="Z26" i="5"/>
  <c r="AA26" i="5"/>
  <c r="M28" i="1"/>
  <c r="N28" i="1" s="1"/>
  <c r="K25" i="2"/>
  <c r="J25" i="2"/>
  <c r="F25" i="5"/>
  <c r="R25" i="2"/>
  <c r="G25" i="5" s="1"/>
  <c r="Q25" i="2"/>
  <c r="E25" i="5" s="1"/>
  <c r="AF31" i="2"/>
  <c r="AG31" i="2" s="1"/>
  <c r="P31" i="1" s="1"/>
  <c r="AE32" i="2"/>
  <c r="Q31" i="1" l="1"/>
  <c r="B30" i="4" s="1"/>
  <c r="D30" i="4" s="1"/>
  <c r="K31" i="1"/>
  <c r="Y27" i="5"/>
  <c r="V27" i="5"/>
  <c r="O27" i="2"/>
  <c r="P27" i="2" s="1"/>
  <c r="I27" i="2"/>
  <c r="K28" i="5"/>
  <c r="I28" i="5" s="1"/>
  <c r="N28" i="5"/>
  <c r="AJ28" i="2"/>
  <c r="H28" i="2"/>
  <c r="AE33" i="2"/>
  <c r="AF32" i="2"/>
  <c r="AG32" i="2" s="1"/>
  <c r="P32" i="1" s="1"/>
  <c r="Q31" i="6"/>
  <c r="O31" i="6"/>
  <c r="K31" i="6"/>
  <c r="D31" i="6"/>
  <c r="M31" i="6"/>
  <c r="J30" i="5"/>
  <c r="S31" i="6"/>
  <c r="G30" i="2"/>
  <c r="AH30" i="2"/>
  <c r="R30" i="1" s="1"/>
  <c r="J30" i="1"/>
  <c r="B30" i="5"/>
  <c r="H30" i="5" s="1"/>
  <c r="G30" i="1"/>
  <c r="M30" i="1"/>
  <c r="N30" i="1" s="1"/>
  <c r="AG29" i="6"/>
  <c r="AC29" i="6"/>
  <c r="W29" i="6"/>
  <c r="AI29" i="6"/>
  <c r="AE29" i="6"/>
  <c r="X29" i="6"/>
  <c r="L28" i="5"/>
  <c r="M28" i="5" s="1"/>
  <c r="E29" i="4"/>
  <c r="F29" i="4" s="1"/>
  <c r="G29" i="4" s="1"/>
  <c r="H29" i="4" s="1"/>
  <c r="I29" i="4" s="1"/>
  <c r="D30" i="6"/>
  <c r="K30" i="6"/>
  <c r="O30" i="6"/>
  <c r="M30" i="6"/>
  <c r="Q30" i="6"/>
  <c r="S30" i="6"/>
  <c r="J29" i="5"/>
  <c r="J29" i="1"/>
  <c r="G29" i="2"/>
  <c r="AH29" i="2"/>
  <c r="R29" i="1" s="1"/>
  <c r="B29" i="5"/>
  <c r="H29" i="5" s="1"/>
  <c r="Q32" i="1" l="1"/>
  <c r="B31" i="4" s="1"/>
  <c r="D31" i="4" s="1"/>
  <c r="K32" i="1"/>
  <c r="C32" i="1"/>
  <c r="Y28" i="5"/>
  <c r="I28" i="2"/>
  <c r="V28" i="5"/>
  <c r="O28" i="2"/>
  <c r="P28" i="2" s="1"/>
  <c r="X27" i="5"/>
  <c r="W27" i="5"/>
  <c r="AE34" i="2"/>
  <c r="AF33" i="2"/>
  <c r="AG33" i="2" s="1"/>
  <c r="P33" i="1" s="1"/>
  <c r="K27" i="2"/>
  <c r="J27" i="2"/>
  <c r="Z27" i="5"/>
  <c r="AA27" i="5"/>
  <c r="F27" i="5"/>
  <c r="Q27" i="2"/>
  <c r="E27" i="5" s="1"/>
  <c r="R27" i="2"/>
  <c r="G27" i="5" s="1"/>
  <c r="AG31" i="6"/>
  <c r="AI31" i="6"/>
  <c r="AE31" i="6"/>
  <c r="AC31" i="6"/>
  <c r="X31" i="6"/>
  <c r="W31" i="6"/>
  <c r="L30" i="5"/>
  <c r="M30" i="5" s="1"/>
  <c r="G31" i="1"/>
  <c r="AJ29" i="2"/>
  <c r="H29" i="2"/>
  <c r="N29" i="5"/>
  <c r="K29" i="5"/>
  <c r="I29" i="5" s="1"/>
  <c r="AJ30" i="2"/>
  <c r="H30" i="2"/>
  <c r="C31" i="1"/>
  <c r="N30" i="5"/>
  <c r="K30" i="5"/>
  <c r="I30" i="5" s="1"/>
  <c r="X30" i="6"/>
  <c r="W30" i="6"/>
  <c r="AI30" i="6"/>
  <c r="AE30" i="6"/>
  <c r="AG30" i="6"/>
  <c r="L29" i="5"/>
  <c r="M29" i="5" s="1"/>
  <c r="AC30" i="6"/>
  <c r="E30" i="4"/>
  <c r="F30" i="4"/>
  <c r="G30" i="4" s="1"/>
  <c r="H30" i="4" s="1"/>
  <c r="I30" i="4" s="1"/>
  <c r="M32" i="6" l="1"/>
  <c r="Q32" i="6"/>
  <c r="O32" i="6"/>
  <c r="D32" i="6"/>
  <c r="J31" i="5"/>
  <c r="S32" i="6"/>
  <c r="K32" i="6"/>
  <c r="G31" i="2"/>
  <c r="AH31" i="2"/>
  <c r="R31" i="1" s="1"/>
  <c r="J31" i="1"/>
  <c r="B31" i="5"/>
  <c r="H31" i="5" s="1"/>
  <c r="Y30" i="5"/>
  <c r="V30" i="5"/>
  <c r="I30" i="2"/>
  <c r="O30" i="2"/>
  <c r="P30" i="2" s="1"/>
  <c r="F28" i="5"/>
  <c r="R28" i="2"/>
  <c r="G28" i="5" s="1"/>
  <c r="Q28" i="2"/>
  <c r="E28" i="5" s="1"/>
  <c r="K28" i="2"/>
  <c r="J28" i="2"/>
  <c r="Y29" i="5"/>
  <c r="V29" i="5"/>
  <c r="O29" i="2"/>
  <c r="P29" i="2" s="1"/>
  <c r="I29" i="2"/>
  <c r="AF34" i="2"/>
  <c r="AG34" i="2" s="1"/>
  <c r="P34" i="1" s="1"/>
  <c r="AE35" i="2"/>
  <c r="W28" i="5"/>
  <c r="X28" i="5"/>
  <c r="M32" i="1"/>
  <c r="N32" i="1" s="1"/>
  <c r="G32" i="1"/>
  <c r="K33" i="1"/>
  <c r="Q33" i="1"/>
  <c r="B32" i="4" s="1"/>
  <c r="D32" i="4" s="1"/>
  <c r="C33" i="1"/>
  <c r="M31" i="1"/>
  <c r="N31" i="1" s="1"/>
  <c r="Z28" i="5"/>
  <c r="AA28" i="5"/>
  <c r="S33" i="6"/>
  <c r="Q33" i="6"/>
  <c r="M33" i="6"/>
  <c r="K33" i="6"/>
  <c r="D33" i="6"/>
  <c r="J32" i="5"/>
  <c r="O33" i="6"/>
  <c r="J32" i="1"/>
  <c r="AH32" i="2"/>
  <c r="R32" i="1" s="1"/>
  <c r="G32" i="2"/>
  <c r="B32" i="5"/>
  <c r="H32" i="5" s="1"/>
  <c r="E31" i="4"/>
  <c r="F31" i="4" s="1"/>
  <c r="G31" i="4" s="1"/>
  <c r="H31" i="4" s="1"/>
  <c r="I31" i="4" s="1"/>
  <c r="K30" i="2" l="1"/>
  <c r="J30" i="2"/>
  <c r="M33" i="1"/>
  <c r="N33" i="1" s="1"/>
  <c r="G33" i="1"/>
  <c r="AJ31" i="2"/>
  <c r="H31" i="2"/>
  <c r="D34" i="6"/>
  <c r="O34" i="6"/>
  <c r="M34" i="6"/>
  <c r="K34" i="6"/>
  <c r="S34" i="6"/>
  <c r="J33" i="5"/>
  <c r="Q34" i="6"/>
  <c r="AH33" i="2"/>
  <c r="R33" i="1" s="1"/>
  <c r="J33" i="1"/>
  <c r="G33" i="2"/>
  <c r="B33" i="5"/>
  <c r="H33" i="5" s="1"/>
  <c r="F30" i="5"/>
  <c r="R30" i="2"/>
  <c r="G30" i="5" s="1"/>
  <c r="Q30" i="2"/>
  <c r="E30" i="5" s="1"/>
  <c r="AA30" i="5"/>
  <c r="Z30" i="5"/>
  <c r="AE32" i="6"/>
  <c r="AC32" i="6"/>
  <c r="X32" i="6"/>
  <c r="L31" i="5"/>
  <c r="M31" i="5" s="1"/>
  <c r="AG32" i="6"/>
  <c r="AI32" i="6"/>
  <c r="W32" i="6"/>
  <c r="AJ32" i="2"/>
  <c r="H32" i="2"/>
  <c r="AE36" i="2"/>
  <c r="AF35" i="2"/>
  <c r="AG35" i="2" s="1"/>
  <c r="P35" i="1" s="1"/>
  <c r="X30" i="5"/>
  <c r="W30" i="5"/>
  <c r="Q34" i="1"/>
  <c r="B33" i="4" s="1"/>
  <c r="D33" i="4" s="1"/>
  <c r="K34" i="1"/>
  <c r="C34" i="1"/>
  <c r="F29" i="5"/>
  <c r="R29" i="2"/>
  <c r="G29" i="5" s="1"/>
  <c r="Q29" i="2"/>
  <c r="E29" i="5" s="1"/>
  <c r="K32" i="5"/>
  <c r="N32" i="5"/>
  <c r="X29" i="5"/>
  <c r="W29" i="5"/>
  <c r="E32" i="4"/>
  <c r="F32" i="4" s="1"/>
  <c r="G32" i="4" s="1"/>
  <c r="H32" i="4" s="1"/>
  <c r="I32" i="4" s="1"/>
  <c r="I32" i="5"/>
  <c r="X33" i="6"/>
  <c r="AI33" i="6"/>
  <c r="AG33" i="6"/>
  <c r="AE33" i="6"/>
  <c r="L32" i="5"/>
  <c r="M32" i="5" s="1"/>
  <c r="AC33" i="6"/>
  <c r="W33" i="6"/>
  <c r="N31" i="5"/>
  <c r="K31" i="5"/>
  <c r="I31" i="5" s="1"/>
  <c r="K29" i="2"/>
  <c r="J29" i="2"/>
  <c r="AA29" i="5"/>
  <c r="Z29" i="5"/>
  <c r="E33" i="4" l="1"/>
  <c r="F33" i="4" s="1"/>
  <c r="G33" i="4" s="1"/>
  <c r="H33" i="4" s="1"/>
  <c r="I33" i="4" s="1"/>
  <c r="G34" i="1"/>
  <c r="M34" i="1"/>
  <c r="N34" i="1" s="1"/>
  <c r="AJ33" i="2"/>
  <c r="H33" i="2"/>
  <c r="K35" i="1"/>
  <c r="Q35" i="1"/>
  <c r="B34" i="4" s="1"/>
  <c r="D34" i="4" s="1"/>
  <c r="K33" i="5"/>
  <c r="I33" i="5" s="1"/>
  <c r="N33" i="5"/>
  <c r="S35" i="6"/>
  <c r="O35" i="6"/>
  <c r="M35" i="6"/>
  <c r="Q35" i="6"/>
  <c r="D35" i="6"/>
  <c r="J34" i="5"/>
  <c r="K35" i="6"/>
  <c r="G34" i="2"/>
  <c r="AH34" i="2"/>
  <c r="R34" i="1" s="1"/>
  <c r="J34" i="1"/>
  <c r="B34" i="5"/>
  <c r="H34" i="5" s="1"/>
  <c r="V32" i="5"/>
  <c r="Y32" i="5"/>
  <c r="I32" i="2"/>
  <c r="O32" i="2"/>
  <c r="P32" i="2" s="1"/>
  <c r="AI34" i="6"/>
  <c r="AG34" i="6"/>
  <c r="AE34" i="6"/>
  <c r="AC34" i="6"/>
  <c r="X34" i="6"/>
  <c r="W34" i="6"/>
  <c r="L33" i="5"/>
  <c r="M33" i="5" s="1"/>
  <c r="AE37" i="2"/>
  <c r="AF36" i="2"/>
  <c r="AG36" i="2" s="1"/>
  <c r="P36" i="1" s="1"/>
  <c r="Y31" i="5"/>
  <c r="I31" i="2"/>
  <c r="O31" i="2"/>
  <c r="P31" i="2" s="1"/>
  <c r="V31" i="5"/>
  <c r="C35" i="1" l="1"/>
  <c r="X31" i="5"/>
  <c r="W31" i="5"/>
  <c r="J31" i="2"/>
  <c r="K31" i="2"/>
  <c r="K34" i="5"/>
  <c r="N34" i="5"/>
  <c r="AF37" i="2"/>
  <c r="AG37" i="2" s="1"/>
  <c r="P37" i="1" s="1"/>
  <c r="AE38" i="2"/>
  <c r="Q36" i="1"/>
  <c r="B35" i="4" s="1"/>
  <c r="D35" i="4" s="1"/>
  <c r="K36" i="1"/>
  <c r="E34" i="4"/>
  <c r="F34" i="4" s="1"/>
  <c r="G34" i="4" s="1"/>
  <c r="H34" i="4" s="1"/>
  <c r="I34" i="4" s="1"/>
  <c r="F32" i="5"/>
  <c r="R32" i="2"/>
  <c r="G32" i="5" s="1"/>
  <c r="Q32" i="2"/>
  <c r="E32" i="5" s="1"/>
  <c r="X32" i="5"/>
  <c r="W32" i="5"/>
  <c r="F31" i="5"/>
  <c r="Q31" i="2"/>
  <c r="E31" i="5" s="1"/>
  <c r="R31" i="2"/>
  <c r="G31" i="5" s="1"/>
  <c r="K36" i="6"/>
  <c r="D36" i="6"/>
  <c r="Q36" i="6"/>
  <c r="S36" i="6"/>
  <c r="J35" i="5"/>
  <c r="O36" i="6"/>
  <c r="M36" i="6"/>
  <c r="G35" i="2"/>
  <c r="AH35" i="2"/>
  <c r="R35" i="1" s="1"/>
  <c r="J35" i="1"/>
  <c r="B35" i="5"/>
  <c r="H35" i="5" s="1"/>
  <c r="Y33" i="5"/>
  <c r="V33" i="5"/>
  <c r="O33" i="2"/>
  <c r="P33" i="2" s="1"/>
  <c r="I33" i="2"/>
  <c r="Z32" i="5"/>
  <c r="AA32" i="5"/>
  <c r="I34" i="5"/>
  <c r="AJ34" i="2"/>
  <c r="H34" i="2"/>
  <c r="Z31" i="5"/>
  <c r="AA31" i="5"/>
  <c r="G35" i="1"/>
  <c r="M35" i="1"/>
  <c r="N35" i="1" s="1"/>
  <c r="K32" i="2"/>
  <c r="J32" i="2"/>
  <c r="AE35" i="6"/>
  <c r="AG35" i="6"/>
  <c r="AC35" i="6"/>
  <c r="X35" i="6"/>
  <c r="W35" i="6"/>
  <c r="L34" i="5"/>
  <c r="M34" i="5" s="1"/>
  <c r="AI35" i="6"/>
  <c r="AI36" i="6" l="1"/>
  <c r="AG36" i="6"/>
  <c r="X36" i="6"/>
  <c r="AE36" i="6"/>
  <c r="AC36" i="6"/>
  <c r="W36" i="6"/>
  <c r="L35" i="5"/>
  <c r="M35" i="5" s="1"/>
  <c r="AE39" i="2"/>
  <c r="AF38" i="2"/>
  <c r="AG38" i="2" s="1"/>
  <c r="P38" i="1" s="1"/>
  <c r="K33" i="2"/>
  <c r="J33" i="2"/>
  <c r="Z33" i="5"/>
  <c r="AA33" i="5"/>
  <c r="E35" i="4"/>
  <c r="F35" i="4" s="1"/>
  <c r="G35" i="4" s="1"/>
  <c r="H35" i="4" s="1"/>
  <c r="I35" i="4" s="1"/>
  <c r="N35" i="5"/>
  <c r="K35" i="5"/>
  <c r="I35" i="5" s="1"/>
  <c r="F33" i="5"/>
  <c r="Q33" i="2"/>
  <c r="E33" i="5" s="1"/>
  <c r="R33" i="2"/>
  <c r="G33" i="5" s="1"/>
  <c r="X33" i="5"/>
  <c r="W33" i="5"/>
  <c r="G36" i="1"/>
  <c r="C36" i="1"/>
  <c r="M36" i="1" s="1"/>
  <c r="N36" i="1" s="1"/>
  <c r="Q37" i="1"/>
  <c r="B36" i="4" s="1"/>
  <c r="D36" i="4" s="1"/>
  <c r="K37" i="1"/>
  <c r="C37" i="1"/>
  <c r="AJ35" i="2"/>
  <c r="H35" i="2"/>
  <c r="Y34" i="5"/>
  <c r="V34" i="5"/>
  <c r="O34" i="2"/>
  <c r="P34" i="2" s="1"/>
  <c r="I34" i="2"/>
  <c r="W34" i="5" l="1"/>
  <c r="X34" i="5"/>
  <c r="Q38" i="1"/>
  <c r="B37" i="4" s="1"/>
  <c r="D37" i="4" s="1"/>
  <c r="K38" i="1"/>
  <c r="C38" i="1"/>
  <c r="AF39" i="2"/>
  <c r="AG39" i="2" s="1"/>
  <c r="P39" i="1" s="1"/>
  <c r="AE40" i="2"/>
  <c r="F34" i="5"/>
  <c r="R34" i="2"/>
  <c r="G34" i="5" s="1"/>
  <c r="Q34" i="2"/>
  <c r="E34" i="5" s="1"/>
  <c r="Y35" i="5"/>
  <c r="V35" i="5"/>
  <c r="O35" i="2"/>
  <c r="P35" i="2" s="1"/>
  <c r="I35" i="2"/>
  <c r="M38" i="6"/>
  <c r="K38" i="6"/>
  <c r="S38" i="6"/>
  <c r="Q38" i="6"/>
  <c r="O38" i="6"/>
  <c r="J37" i="5"/>
  <c r="D38" i="6"/>
  <c r="AH37" i="2"/>
  <c r="R37" i="1" s="1"/>
  <c r="G37" i="2"/>
  <c r="J37" i="1"/>
  <c r="B37" i="5"/>
  <c r="H37" i="5" s="1"/>
  <c r="Z34" i="5"/>
  <c r="AA34" i="5"/>
  <c r="Q37" i="6"/>
  <c r="O37" i="6"/>
  <c r="S37" i="6"/>
  <c r="M37" i="6"/>
  <c r="J36" i="5"/>
  <c r="K37" i="6"/>
  <c r="D37" i="6"/>
  <c r="G36" i="2"/>
  <c r="AH36" i="2"/>
  <c r="R36" i="1" s="1"/>
  <c r="J36" i="1"/>
  <c r="B36" i="5"/>
  <c r="H36" i="5" s="1"/>
  <c r="J34" i="2"/>
  <c r="K34" i="2"/>
  <c r="M37" i="1"/>
  <c r="N37" i="1" s="1"/>
  <c r="G37" i="1"/>
  <c r="E36" i="4"/>
  <c r="F36" i="4" s="1"/>
  <c r="G36" i="4" s="1"/>
  <c r="H36" i="4" s="1"/>
  <c r="I36" i="4" s="1"/>
  <c r="K37" i="5" l="1"/>
  <c r="N37" i="5"/>
  <c r="K35" i="2"/>
  <c r="J35" i="2"/>
  <c r="D39" i="6"/>
  <c r="S39" i="6"/>
  <c r="Q39" i="6"/>
  <c r="K39" i="6"/>
  <c r="O39" i="6"/>
  <c r="M39" i="6"/>
  <c r="J38" i="5"/>
  <c r="J38" i="1"/>
  <c r="AH38" i="2"/>
  <c r="R38" i="1" s="1"/>
  <c r="G38" i="2"/>
  <c r="B38" i="5"/>
  <c r="H38" i="5" s="1"/>
  <c r="AJ36" i="2"/>
  <c r="H36" i="2"/>
  <c r="AF40" i="2"/>
  <c r="AG40" i="2" s="1"/>
  <c r="P40" i="1" s="1"/>
  <c r="AE41" i="2"/>
  <c r="M38" i="1"/>
  <c r="N38" i="1" s="1"/>
  <c r="G38" i="1"/>
  <c r="F35" i="5"/>
  <c r="R35" i="2"/>
  <c r="G35" i="5" s="1"/>
  <c r="Q35" i="2"/>
  <c r="E35" i="5" s="1"/>
  <c r="X35" i="5"/>
  <c r="W35" i="5"/>
  <c r="I37" i="5"/>
  <c r="E37" i="4"/>
  <c r="F37" i="4" s="1"/>
  <c r="G37" i="4" s="1"/>
  <c r="H37" i="4" s="1"/>
  <c r="I37" i="4" s="1"/>
  <c r="W37" i="6"/>
  <c r="AE37" i="6"/>
  <c r="X37" i="6"/>
  <c r="L36" i="5"/>
  <c r="M36" i="5" s="1"/>
  <c r="AI37" i="6"/>
  <c r="AG37" i="6"/>
  <c r="AC37" i="6"/>
  <c r="Q39" i="1"/>
  <c r="B38" i="4" s="1"/>
  <c r="D38" i="4" s="1"/>
  <c r="K39" i="1"/>
  <c r="C39" i="1"/>
  <c r="AE38" i="6"/>
  <c r="L37" i="5"/>
  <c r="M37" i="5" s="1"/>
  <c r="AG38" i="6"/>
  <c r="X38" i="6"/>
  <c r="W38" i="6"/>
  <c r="AC38" i="6"/>
  <c r="AI38" i="6"/>
  <c r="K36" i="5"/>
  <c r="I36" i="5" s="1"/>
  <c r="N36" i="5"/>
  <c r="Z35" i="5"/>
  <c r="AA35" i="5"/>
  <c r="AJ37" i="2"/>
  <c r="H37" i="2"/>
  <c r="E38" i="4" l="1"/>
  <c r="F38" i="4" s="1"/>
  <c r="G38" i="4" s="1"/>
  <c r="H38" i="4" s="1"/>
  <c r="I38" i="4" s="1"/>
  <c r="K40" i="1"/>
  <c r="Q40" i="1"/>
  <c r="B39" i="4" s="1"/>
  <c r="D39" i="4" s="1"/>
  <c r="X39" i="6"/>
  <c r="W39" i="6"/>
  <c r="AI39" i="6"/>
  <c r="AG39" i="6"/>
  <c r="AE39" i="6"/>
  <c r="AC39" i="6"/>
  <c r="L38" i="5"/>
  <c r="M38" i="5" s="1"/>
  <c r="K38" i="5"/>
  <c r="N38" i="5"/>
  <c r="O40" i="6"/>
  <c r="M40" i="6"/>
  <c r="S40" i="6"/>
  <c r="Q40" i="6"/>
  <c r="K40" i="6"/>
  <c r="D40" i="6"/>
  <c r="G39" i="2"/>
  <c r="J39" i="5"/>
  <c r="J39" i="1"/>
  <c r="AH39" i="2"/>
  <c r="R39" i="1" s="1"/>
  <c r="B39" i="5"/>
  <c r="H39" i="5" s="1"/>
  <c r="AE42" i="2"/>
  <c r="AF41" i="2"/>
  <c r="AG41" i="2" s="1"/>
  <c r="P41" i="1" s="1"/>
  <c r="Y36" i="5"/>
  <c r="V36" i="5"/>
  <c r="I36" i="2"/>
  <c r="O36" i="2"/>
  <c r="P36" i="2" s="1"/>
  <c r="AJ38" i="2"/>
  <c r="H38" i="2"/>
  <c r="M39" i="1"/>
  <c r="N39" i="1" s="1"/>
  <c r="G39" i="1"/>
  <c r="I38" i="5"/>
  <c r="Y37" i="5"/>
  <c r="V37" i="5"/>
  <c r="I37" i="2"/>
  <c r="O37" i="2"/>
  <c r="P37" i="2" s="1"/>
  <c r="X36" i="5" l="1"/>
  <c r="W36" i="5"/>
  <c r="J37" i="2"/>
  <c r="K37" i="2"/>
  <c r="Y38" i="5"/>
  <c r="V38" i="5"/>
  <c r="I38" i="2"/>
  <c r="O38" i="2"/>
  <c r="P38" i="2" s="1"/>
  <c r="F36" i="5"/>
  <c r="Q36" i="2"/>
  <c r="E36" i="5" s="1"/>
  <c r="R36" i="2"/>
  <c r="G36" i="5" s="1"/>
  <c r="K36" i="2"/>
  <c r="J36" i="2"/>
  <c r="E39" i="4"/>
  <c r="F39" i="4" s="1"/>
  <c r="G39" i="4" s="1"/>
  <c r="H39" i="4" s="1"/>
  <c r="I39" i="4" s="1"/>
  <c r="C40" i="1"/>
  <c r="AA37" i="5"/>
  <c r="Z37" i="5"/>
  <c r="K41" i="1"/>
  <c r="Q41" i="1"/>
  <c r="B40" i="4" s="1"/>
  <c r="D40" i="4" s="1"/>
  <c r="AE43" i="2"/>
  <c r="AF42" i="2"/>
  <c r="AG42" i="2" s="1"/>
  <c r="P42" i="1" s="1"/>
  <c r="AI40" i="6"/>
  <c r="AE40" i="6"/>
  <c r="AG40" i="6"/>
  <c r="W40" i="6"/>
  <c r="AC40" i="6"/>
  <c r="X40" i="6"/>
  <c r="L39" i="5"/>
  <c r="M39" i="5" s="1"/>
  <c r="K39" i="5"/>
  <c r="N39" i="5"/>
  <c r="F37" i="5"/>
  <c r="Q37" i="2"/>
  <c r="E37" i="5" s="1"/>
  <c r="R37" i="2"/>
  <c r="G37" i="5" s="1"/>
  <c r="X37" i="5"/>
  <c r="W37" i="5"/>
  <c r="AA36" i="5"/>
  <c r="Z36" i="5"/>
  <c r="I39" i="5"/>
  <c r="G40" i="1"/>
  <c r="AJ39" i="2"/>
  <c r="H39" i="2"/>
  <c r="C41" i="1" l="1"/>
  <c r="J41" i="1" s="1"/>
  <c r="D41" i="6"/>
  <c r="S41" i="6"/>
  <c r="Q41" i="6"/>
  <c r="M41" i="6"/>
  <c r="O41" i="6"/>
  <c r="K41" i="6"/>
  <c r="J40" i="1"/>
  <c r="J40" i="5"/>
  <c r="G40" i="2"/>
  <c r="AH40" i="2"/>
  <c r="R40" i="1" s="1"/>
  <c r="B40" i="5"/>
  <c r="H40" i="5" s="1"/>
  <c r="F38" i="5"/>
  <c r="R38" i="2"/>
  <c r="G38" i="5" s="1"/>
  <c r="Q38" i="2"/>
  <c r="E38" i="5" s="1"/>
  <c r="Q42" i="6"/>
  <c r="O42" i="6"/>
  <c r="S42" i="6"/>
  <c r="M42" i="6"/>
  <c r="K42" i="6"/>
  <c r="D42" i="6"/>
  <c r="J41" i="5"/>
  <c r="AH41" i="2"/>
  <c r="R41" i="1" s="1"/>
  <c r="G41" i="2"/>
  <c r="B41" i="5"/>
  <c r="H41" i="5" s="1"/>
  <c r="W38" i="5"/>
  <c r="X38" i="5"/>
  <c r="Y39" i="5"/>
  <c r="V39" i="5"/>
  <c r="O39" i="2"/>
  <c r="P39" i="2" s="1"/>
  <c r="I39" i="2"/>
  <c r="Q42" i="1"/>
  <c r="B41" i="4" s="1"/>
  <c r="D41" i="4" s="1"/>
  <c r="K42" i="1"/>
  <c r="M41" i="1"/>
  <c r="N41" i="1" s="1"/>
  <c r="G41" i="1"/>
  <c r="Z38" i="5"/>
  <c r="AA38" i="5"/>
  <c r="M40" i="1"/>
  <c r="N40" i="1" s="1"/>
  <c r="AF43" i="2"/>
  <c r="AG43" i="2" s="1"/>
  <c r="P43" i="1" s="1"/>
  <c r="AE44" i="2"/>
  <c r="J38" i="2"/>
  <c r="K38" i="2"/>
  <c r="E40" i="4"/>
  <c r="F40" i="4" s="1"/>
  <c r="G40" i="4" s="1"/>
  <c r="H40" i="4" s="1"/>
  <c r="I40" i="4" s="1"/>
  <c r="K43" i="1" l="1"/>
  <c r="Q43" i="1"/>
  <c r="B42" i="4" s="1"/>
  <c r="D42" i="4" s="1"/>
  <c r="AC41" i="6"/>
  <c r="X41" i="6"/>
  <c r="AG41" i="6"/>
  <c r="W41" i="6"/>
  <c r="AI41" i="6"/>
  <c r="AE41" i="6"/>
  <c r="L40" i="5"/>
  <c r="M40" i="5" s="1"/>
  <c r="E41" i="4"/>
  <c r="F41" i="4" s="1"/>
  <c r="G41" i="4" s="1"/>
  <c r="H41" i="4" s="1"/>
  <c r="I41" i="4" s="1"/>
  <c r="K39" i="2"/>
  <c r="J39" i="2"/>
  <c r="AJ40" i="2"/>
  <c r="H40" i="2"/>
  <c r="K40" i="5"/>
  <c r="I40" i="5" s="1"/>
  <c r="N40" i="5"/>
  <c r="AI42" i="6"/>
  <c r="W42" i="6"/>
  <c r="L41" i="5"/>
  <c r="M41" i="5" s="1"/>
  <c r="AC42" i="6"/>
  <c r="AG42" i="6"/>
  <c r="AE42" i="6"/>
  <c r="X42" i="6"/>
  <c r="G42" i="1"/>
  <c r="C42" i="1"/>
  <c r="F39" i="5"/>
  <c r="R39" i="2"/>
  <c r="G39" i="5" s="1"/>
  <c r="Q39" i="2"/>
  <c r="E39" i="5" s="1"/>
  <c r="X39" i="5"/>
  <c r="W39" i="5"/>
  <c r="Z39" i="5"/>
  <c r="AA39" i="5"/>
  <c r="AJ41" i="2"/>
  <c r="H41" i="2"/>
  <c r="AE45" i="2"/>
  <c r="AF44" i="2"/>
  <c r="AG44" i="2" s="1"/>
  <c r="P44" i="1" s="1"/>
  <c r="K41" i="5"/>
  <c r="I41" i="5" s="1"/>
  <c r="N41" i="5"/>
  <c r="AF45" i="2" l="1"/>
  <c r="AG45" i="2" s="1"/>
  <c r="P45" i="1" s="1"/>
  <c r="AE46" i="2"/>
  <c r="E42" i="4"/>
  <c r="F42" i="4"/>
  <c r="G42" i="4" s="1"/>
  <c r="H42" i="4" s="1"/>
  <c r="I42" i="4" s="1"/>
  <c r="Y40" i="5"/>
  <c r="V40" i="5"/>
  <c r="O40" i="2"/>
  <c r="P40" i="2" s="1"/>
  <c r="I40" i="2"/>
  <c r="O43" i="6"/>
  <c r="M43" i="6"/>
  <c r="K43" i="6"/>
  <c r="S43" i="6"/>
  <c r="Q43" i="6"/>
  <c r="J42" i="5"/>
  <c r="D43" i="6"/>
  <c r="G42" i="2"/>
  <c r="AH42" i="2"/>
  <c r="R42" i="1" s="1"/>
  <c r="J42" i="1"/>
  <c r="B42" i="5"/>
  <c r="H42" i="5" s="1"/>
  <c r="C43" i="1"/>
  <c r="M43" i="1" s="1"/>
  <c r="N43" i="1" s="1"/>
  <c r="Y41" i="5"/>
  <c r="V41" i="5"/>
  <c r="O41" i="2"/>
  <c r="P41" i="2" s="1"/>
  <c r="I41" i="2"/>
  <c r="M42" i="1"/>
  <c r="N42" i="1" s="1"/>
  <c r="Q44" i="1"/>
  <c r="B43" i="4" s="1"/>
  <c r="D43" i="4" s="1"/>
  <c r="K44" i="1"/>
  <c r="G43" i="1"/>
  <c r="K42" i="5" l="1"/>
  <c r="I42" i="5" s="1"/>
  <c r="N42" i="5"/>
  <c r="G44" i="1"/>
  <c r="K40" i="2"/>
  <c r="J40" i="2"/>
  <c r="F40" i="5"/>
  <c r="R40" i="2"/>
  <c r="G40" i="5" s="1"/>
  <c r="Q40" i="2"/>
  <c r="E40" i="5" s="1"/>
  <c r="F41" i="5"/>
  <c r="R41" i="2"/>
  <c r="G41" i="5" s="1"/>
  <c r="Q41" i="2"/>
  <c r="E41" i="5" s="1"/>
  <c r="S44" i="6"/>
  <c r="Q44" i="6"/>
  <c r="M44" i="6"/>
  <c r="K44" i="6"/>
  <c r="D44" i="6"/>
  <c r="O44" i="6"/>
  <c r="J43" i="5"/>
  <c r="AH43" i="2"/>
  <c r="R43" i="1" s="1"/>
  <c r="G43" i="2"/>
  <c r="J43" i="1"/>
  <c r="B43" i="5"/>
  <c r="H43" i="5" s="1"/>
  <c r="AJ42" i="2"/>
  <c r="H42" i="2"/>
  <c r="E43" i="4"/>
  <c r="F43" i="4"/>
  <c r="G43" i="4" s="1"/>
  <c r="H43" i="4" s="1"/>
  <c r="I43" i="4" s="1"/>
  <c r="X40" i="5"/>
  <c r="W40" i="5"/>
  <c r="J41" i="2"/>
  <c r="K41" i="2"/>
  <c r="X41" i="5"/>
  <c r="W41" i="5"/>
  <c r="AF46" i="2"/>
  <c r="AG46" i="2" s="1"/>
  <c r="P46" i="1" s="1"/>
  <c r="AE47" i="2"/>
  <c r="AG43" i="6"/>
  <c r="AE43" i="6"/>
  <c r="AC43" i="6"/>
  <c r="W43" i="6"/>
  <c r="L42" i="5"/>
  <c r="M42" i="5" s="1"/>
  <c r="AI43" i="6"/>
  <c r="X43" i="6"/>
  <c r="C44" i="1"/>
  <c r="Z40" i="5"/>
  <c r="AA40" i="5"/>
  <c r="AA41" i="5"/>
  <c r="Z41" i="5"/>
  <c r="Q45" i="1"/>
  <c r="B44" i="4" s="1"/>
  <c r="D44" i="4" s="1"/>
  <c r="K45" i="1"/>
  <c r="K43" i="5" l="1"/>
  <c r="I43" i="5" s="1"/>
  <c r="N43" i="5"/>
  <c r="AE48" i="2"/>
  <c r="AF47" i="2"/>
  <c r="AG47" i="2" s="1"/>
  <c r="P47" i="1" s="1"/>
  <c r="G45" i="1"/>
  <c r="E44" i="4"/>
  <c r="F44" i="4" s="1"/>
  <c r="G44" i="4" s="1"/>
  <c r="H44" i="4" s="1"/>
  <c r="I44" i="4" s="1"/>
  <c r="Y42" i="5"/>
  <c r="V42" i="5"/>
  <c r="I42" i="2"/>
  <c r="O42" i="2"/>
  <c r="P42" i="2" s="1"/>
  <c r="K45" i="6"/>
  <c r="Q45" i="6"/>
  <c r="O45" i="6"/>
  <c r="J44" i="5"/>
  <c r="S45" i="6"/>
  <c r="M45" i="6"/>
  <c r="D45" i="6"/>
  <c r="AH44" i="2"/>
  <c r="R44" i="1" s="1"/>
  <c r="J44" i="1"/>
  <c r="G44" i="2"/>
  <c r="B44" i="5"/>
  <c r="H44" i="5" s="1"/>
  <c r="AJ43" i="2"/>
  <c r="H43" i="2"/>
  <c r="K46" i="1"/>
  <c r="Q46" i="1"/>
  <c r="B45" i="4" s="1"/>
  <c r="D45" i="4" s="1"/>
  <c r="C45" i="1"/>
  <c r="M44" i="1"/>
  <c r="N44" i="1" s="1"/>
  <c r="AI44" i="6"/>
  <c r="AG44" i="6"/>
  <c r="AE44" i="6"/>
  <c r="W44" i="6"/>
  <c r="AC44" i="6"/>
  <c r="L43" i="5"/>
  <c r="M43" i="5" s="1"/>
  <c r="X44" i="6"/>
  <c r="X42" i="5" l="1"/>
  <c r="W42" i="5"/>
  <c r="S46" i="6"/>
  <c r="Q46" i="6"/>
  <c r="O46" i="6"/>
  <c r="J45" i="5"/>
  <c r="D46" i="6"/>
  <c r="K46" i="6"/>
  <c r="M46" i="6"/>
  <c r="AH45" i="2"/>
  <c r="R45" i="1" s="1"/>
  <c r="G45" i="2"/>
  <c r="J45" i="1"/>
  <c r="B45" i="5"/>
  <c r="H45" i="5" s="1"/>
  <c r="Q47" i="1"/>
  <c r="B46" i="4" s="1"/>
  <c r="D46" i="4" s="1"/>
  <c r="K47" i="1"/>
  <c r="F42" i="5"/>
  <c r="R42" i="2"/>
  <c r="G42" i="5" s="1"/>
  <c r="Q42" i="2"/>
  <c r="E42" i="5" s="1"/>
  <c r="AA42" i="5"/>
  <c r="Z42" i="5"/>
  <c r="C46" i="1"/>
  <c r="AF48" i="2"/>
  <c r="AG48" i="2" s="1"/>
  <c r="P48" i="1" s="1"/>
  <c r="AE49" i="2"/>
  <c r="K42" i="2"/>
  <c r="J42" i="2"/>
  <c r="E45" i="4"/>
  <c r="F45" i="4" s="1"/>
  <c r="G45" i="4" s="1"/>
  <c r="H45" i="4" s="1"/>
  <c r="I45" i="4" s="1"/>
  <c r="Y43" i="5"/>
  <c r="V43" i="5"/>
  <c r="I43" i="2"/>
  <c r="O43" i="2"/>
  <c r="P43" i="2" s="1"/>
  <c r="M45" i="1"/>
  <c r="N45" i="1" s="1"/>
  <c r="AJ44" i="2"/>
  <c r="H44" i="2"/>
  <c r="K44" i="5"/>
  <c r="I44" i="5" s="1"/>
  <c r="N44" i="5"/>
  <c r="G46" i="1"/>
  <c r="M46" i="1"/>
  <c r="N46" i="1" s="1"/>
  <c r="AI45" i="6"/>
  <c r="AG45" i="6"/>
  <c r="AE45" i="6"/>
  <c r="W45" i="6"/>
  <c r="AC45" i="6"/>
  <c r="X45" i="6"/>
  <c r="L44" i="5"/>
  <c r="M44" i="5" s="1"/>
  <c r="C47" i="1" l="1"/>
  <c r="M47" i="1" s="1"/>
  <c r="N47" i="1" s="1"/>
  <c r="G47" i="1"/>
  <c r="Z43" i="5"/>
  <c r="AA43" i="5"/>
  <c r="Y44" i="5"/>
  <c r="V44" i="5"/>
  <c r="O44" i="2"/>
  <c r="P44" i="2" s="1"/>
  <c r="I44" i="2"/>
  <c r="E46" i="4"/>
  <c r="F46" i="4" s="1"/>
  <c r="G46" i="4" s="1"/>
  <c r="H46" i="4" s="1"/>
  <c r="I46" i="4" s="1"/>
  <c r="F43" i="5"/>
  <c r="R43" i="2"/>
  <c r="G43" i="5" s="1"/>
  <c r="Q43" i="2"/>
  <c r="E43" i="5" s="1"/>
  <c r="K43" i="2"/>
  <c r="J43" i="2"/>
  <c r="D48" i="6"/>
  <c r="S48" i="6"/>
  <c r="O48" i="6"/>
  <c r="K48" i="6"/>
  <c r="M48" i="6"/>
  <c r="Q48" i="6"/>
  <c r="J47" i="5"/>
  <c r="AH47" i="2"/>
  <c r="R47" i="1" s="1"/>
  <c r="G47" i="2"/>
  <c r="B47" i="5"/>
  <c r="H47" i="5" s="1"/>
  <c r="AJ45" i="2"/>
  <c r="H45" i="2"/>
  <c r="K48" i="1"/>
  <c r="Q48" i="1"/>
  <c r="B47" i="4" s="1"/>
  <c r="D47" i="4" s="1"/>
  <c r="AC46" i="6"/>
  <c r="AE46" i="6"/>
  <c r="X46" i="6"/>
  <c r="W46" i="6"/>
  <c r="AG46" i="6"/>
  <c r="AI46" i="6"/>
  <c r="L45" i="5"/>
  <c r="M45" i="5" s="1"/>
  <c r="M47" i="6"/>
  <c r="K47" i="6"/>
  <c r="Q47" i="6"/>
  <c r="D47" i="6"/>
  <c r="O47" i="6"/>
  <c r="S47" i="6"/>
  <c r="J46" i="5"/>
  <c r="AH46" i="2"/>
  <c r="R46" i="1" s="1"/>
  <c r="G46" i="2"/>
  <c r="J46" i="1"/>
  <c r="B46" i="5"/>
  <c r="H46" i="5" s="1"/>
  <c r="X43" i="5"/>
  <c r="W43" i="5"/>
  <c r="K45" i="5"/>
  <c r="I45" i="5" s="1"/>
  <c r="N45" i="5"/>
  <c r="AE50" i="2"/>
  <c r="AF49" i="2"/>
  <c r="AG49" i="2" s="1"/>
  <c r="P49" i="1" s="1"/>
  <c r="J47" i="1" l="1"/>
  <c r="K49" i="1"/>
  <c r="Q49" i="1"/>
  <c r="B48" i="4" s="1"/>
  <c r="D48" i="4" s="1"/>
  <c r="E47" i="4"/>
  <c r="F47" i="4"/>
  <c r="G47" i="4" s="1"/>
  <c r="H47" i="4" s="1"/>
  <c r="I47" i="4" s="1"/>
  <c r="Y45" i="5"/>
  <c r="V45" i="5"/>
  <c r="I45" i="2"/>
  <c r="O45" i="2"/>
  <c r="P45" i="2" s="1"/>
  <c r="K44" i="2"/>
  <c r="J44" i="2"/>
  <c r="F44" i="5"/>
  <c r="Q44" i="2"/>
  <c r="E44" i="5" s="1"/>
  <c r="R44" i="2"/>
  <c r="G44" i="5" s="1"/>
  <c r="C48" i="1"/>
  <c r="X44" i="5"/>
  <c r="W44" i="5"/>
  <c r="G48" i="1"/>
  <c r="AJ46" i="2"/>
  <c r="H46" i="2"/>
  <c r="AJ47" i="2"/>
  <c r="H47" i="2"/>
  <c r="Z44" i="5"/>
  <c r="AA44" i="5"/>
  <c r="AE51" i="2"/>
  <c r="AF50" i="2"/>
  <c r="AG50" i="2" s="1"/>
  <c r="P50" i="1" s="1"/>
  <c r="AI47" i="6"/>
  <c r="AC47" i="6"/>
  <c r="AE47" i="6"/>
  <c r="L46" i="5"/>
  <c r="M46" i="5" s="1"/>
  <c r="AG47" i="6"/>
  <c r="X47" i="6"/>
  <c r="W47" i="6"/>
  <c r="N46" i="5"/>
  <c r="K46" i="5"/>
  <c r="I46" i="5" s="1"/>
  <c r="X48" i="6"/>
  <c r="W48" i="6"/>
  <c r="AG48" i="6"/>
  <c r="AE48" i="6"/>
  <c r="AC48" i="6"/>
  <c r="L47" i="5"/>
  <c r="M47" i="5" s="1"/>
  <c r="AI48" i="6"/>
  <c r="K47" i="5"/>
  <c r="I47" i="5" s="1"/>
  <c r="N47" i="5"/>
  <c r="C49" i="1" l="1"/>
  <c r="Q50" i="1"/>
  <c r="B49" i="4" s="1"/>
  <c r="D49" i="4" s="1"/>
  <c r="K50" i="1"/>
  <c r="C50" i="1"/>
  <c r="O49" i="6"/>
  <c r="M49" i="6"/>
  <c r="Q49" i="6"/>
  <c r="D49" i="6"/>
  <c r="J48" i="5"/>
  <c r="K49" i="6"/>
  <c r="S49" i="6"/>
  <c r="G48" i="2"/>
  <c r="AH48" i="2"/>
  <c r="R48" i="1" s="1"/>
  <c r="J48" i="1"/>
  <c r="B48" i="5"/>
  <c r="H48" i="5" s="1"/>
  <c r="X45" i="5"/>
  <c r="W45" i="5"/>
  <c r="F45" i="5"/>
  <c r="R45" i="2"/>
  <c r="G45" i="5" s="1"/>
  <c r="Q45" i="2"/>
  <c r="E45" i="5" s="1"/>
  <c r="Y46" i="5"/>
  <c r="V46" i="5"/>
  <c r="I46" i="2"/>
  <c r="O46" i="2"/>
  <c r="P46" i="2" s="1"/>
  <c r="D50" i="6"/>
  <c r="K50" i="6"/>
  <c r="S50" i="6"/>
  <c r="Q50" i="6"/>
  <c r="O50" i="6"/>
  <c r="M50" i="6"/>
  <c r="J49" i="5"/>
  <c r="G49" i="2"/>
  <c r="AH49" i="2"/>
  <c r="R49" i="1" s="1"/>
  <c r="J49" i="1"/>
  <c r="B49" i="5"/>
  <c r="H49" i="5" s="1"/>
  <c r="J45" i="2"/>
  <c r="K45" i="2"/>
  <c r="Z45" i="5"/>
  <c r="AA45" i="5"/>
  <c r="E48" i="4"/>
  <c r="F48" i="4" s="1"/>
  <c r="G48" i="4" s="1"/>
  <c r="H48" i="4" s="1"/>
  <c r="I48" i="4" s="1"/>
  <c r="AE52" i="2"/>
  <c r="AF51" i="2"/>
  <c r="AG51" i="2" s="1"/>
  <c r="P51" i="1" s="1"/>
  <c r="Y47" i="5"/>
  <c r="V47" i="5"/>
  <c r="O47" i="2"/>
  <c r="P47" i="2" s="1"/>
  <c r="I47" i="2"/>
  <c r="M48" i="1"/>
  <c r="N48" i="1" s="1"/>
  <c r="M49" i="1"/>
  <c r="N49" i="1" s="1"/>
  <c r="G49" i="1"/>
  <c r="AG49" i="6" l="1"/>
  <c r="AC49" i="6"/>
  <c r="X49" i="6"/>
  <c r="AI49" i="6"/>
  <c r="AE49" i="6"/>
  <c r="W49" i="6"/>
  <c r="L48" i="5"/>
  <c r="M48" i="5" s="1"/>
  <c r="K48" i="5"/>
  <c r="I48" i="5" s="1"/>
  <c r="N48" i="5"/>
  <c r="W47" i="5"/>
  <c r="X47" i="5"/>
  <c r="X50" i="6"/>
  <c r="W50" i="6"/>
  <c r="AE50" i="6"/>
  <c r="AI50" i="6"/>
  <c r="AG50" i="6"/>
  <c r="AC50" i="6"/>
  <c r="L49" i="5"/>
  <c r="M49" i="5" s="1"/>
  <c r="N49" i="5"/>
  <c r="K49" i="5"/>
  <c r="I49" i="5" s="1"/>
  <c r="K47" i="2"/>
  <c r="J47" i="2"/>
  <c r="R46" i="2"/>
  <c r="G46" i="5" s="1"/>
  <c r="F46" i="5"/>
  <c r="Q46" i="2"/>
  <c r="E46" i="5" s="1"/>
  <c r="Q51" i="6"/>
  <c r="O51" i="6"/>
  <c r="K51" i="6"/>
  <c r="M51" i="6"/>
  <c r="S51" i="6"/>
  <c r="D51" i="6"/>
  <c r="J50" i="5"/>
  <c r="G50" i="2"/>
  <c r="J50" i="1"/>
  <c r="AH50" i="2"/>
  <c r="R50" i="1" s="1"/>
  <c r="B50" i="5"/>
  <c r="H50" i="5" s="1"/>
  <c r="AJ49" i="2"/>
  <c r="H49" i="2"/>
  <c r="F47" i="5"/>
  <c r="R47" i="2"/>
  <c r="G47" i="5" s="1"/>
  <c r="Q47" i="2"/>
  <c r="E47" i="5" s="1"/>
  <c r="AA47" i="5"/>
  <c r="Z47" i="5"/>
  <c r="Q51" i="1"/>
  <c r="B50" i="4" s="1"/>
  <c r="D50" i="4" s="1"/>
  <c r="K51" i="1"/>
  <c r="C51" i="1"/>
  <c r="K46" i="2"/>
  <c r="J46" i="2"/>
  <c r="M50" i="1"/>
  <c r="N50" i="1" s="1"/>
  <c r="G50" i="1"/>
  <c r="AA46" i="5"/>
  <c r="Z46" i="5"/>
  <c r="AJ48" i="2"/>
  <c r="H48" i="2"/>
  <c r="AF52" i="2"/>
  <c r="AG52" i="2" s="1"/>
  <c r="P52" i="1" s="1"/>
  <c r="AE53" i="2"/>
  <c r="W46" i="5"/>
  <c r="X46" i="5"/>
  <c r="E49" i="4"/>
  <c r="F49" i="4" s="1"/>
  <c r="G49" i="4" s="1"/>
  <c r="H49" i="4" s="1"/>
  <c r="I49" i="4" s="1"/>
  <c r="AG51" i="6" l="1"/>
  <c r="AE51" i="6"/>
  <c r="AI51" i="6"/>
  <c r="AC51" i="6"/>
  <c r="X51" i="6"/>
  <c r="W51" i="6"/>
  <c r="L50" i="5"/>
  <c r="M50" i="5" s="1"/>
  <c r="AE54" i="2"/>
  <c r="AF53" i="2"/>
  <c r="AG53" i="2" s="1"/>
  <c r="P53" i="1" s="1"/>
  <c r="E50" i="4"/>
  <c r="F50" i="4" s="1"/>
  <c r="G50" i="4" s="1"/>
  <c r="H50" i="4" s="1"/>
  <c r="I50" i="4" s="1"/>
  <c r="I50" i="5"/>
  <c r="Y48" i="5"/>
  <c r="I48" i="2"/>
  <c r="V48" i="5"/>
  <c r="O48" i="2"/>
  <c r="P48" i="2" s="1"/>
  <c r="G51" i="1"/>
  <c r="M51" i="1"/>
  <c r="N51" i="1" s="1"/>
  <c r="Y49" i="5"/>
  <c r="V49" i="5"/>
  <c r="I49" i="2"/>
  <c r="O49" i="2"/>
  <c r="P49" i="2" s="1"/>
  <c r="Q52" i="1"/>
  <c r="B51" i="4" s="1"/>
  <c r="D51" i="4" s="1"/>
  <c r="K52" i="1"/>
  <c r="C52" i="1"/>
  <c r="AJ50" i="2"/>
  <c r="H50" i="2"/>
  <c r="N50" i="5"/>
  <c r="K50" i="5"/>
  <c r="M52" i="6"/>
  <c r="D52" i="6"/>
  <c r="S52" i="6"/>
  <c r="O52" i="6"/>
  <c r="K52" i="6"/>
  <c r="Q52" i="6"/>
  <c r="J51" i="5"/>
  <c r="G51" i="2"/>
  <c r="AH51" i="2"/>
  <c r="R51" i="1" s="1"/>
  <c r="J51" i="1"/>
  <c r="B51" i="5"/>
  <c r="H51" i="5" s="1"/>
  <c r="AE52" i="6" l="1"/>
  <c r="AC52" i="6"/>
  <c r="AI52" i="6"/>
  <c r="X52" i="6"/>
  <c r="L51" i="5"/>
  <c r="M51" i="5" s="1"/>
  <c r="AG52" i="6"/>
  <c r="W52" i="6"/>
  <c r="F48" i="5"/>
  <c r="R48" i="2"/>
  <c r="G48" i="5" s="1"/>
  <c r="Q48" i="2"/>
  <c r="E48" i="5" s="1"/>
  <c r="W49" i="5"/>
  <c r="X49" i="5"/>
  <c r="K51" i="5"/>
  <c r="I51" i="5" s="1"/>
  <c r="N51" i="5"/>
  <c r="J48" i="2"/>
  <c r="K48" i="2"/>
  <c r="Y50" i="5"/>
  <c r="V50" i="5"/>
  <c r="O50" i="2"/>
  <c r="P50" i="2" s="1"/>
  <c r="I50" i="2"/>
  <c r="S53" i="6"/>
  <c r="Q53" i="6"/>
  <c r="M53" i="6"/>
  <c r="K53" i="6"/>
  <c r="D53" i="6"/>
  <c r="O53" i="6"/>
  <c r="J52" i="5"/>
  <c r="J52" i="1"/>
  <c r="G52" i="2"/>
  <c r="AH52" i="2"/>
  <c r="R52" i="1" s="1"/>
  <c r="B52" i="5"/>
  <c r="H52" i="5" s="1"/>
  <c r="AJ51" i="2"/>
  <c r="H51" i="2"/>
  <c r="Z48" i="5"/>
  <c r="AA48" i="5"/>
  <c r="Q53" i="1"/>
  <c r="B52" i="4" s="1"/>
  <c r="D52" i="4" s="1"/>
  <c r="K53" i="1"/>
  <c r="AE55" i="2"/>
  <c r="AF54" i="2"/>
  <c r="AG54" i="2" s="1"/>
  <c r="P54" i="1" s="1"/>
  <c r="M52" i="1"/>
  <c r="N52" i="1" s="1"/>
  <c r="G52" i="1"/>
  <c r="F49" i="5"/>
  <c r="R49" i="2"/>
  <c r="G49" i="5" s="1"/>
  <c r="Q49" i="2"/>
  <c r="E49" i="5" s="1"/>
  <c r="Z49" i="5"/>
  <c r="AA49" i="5"/>
  <c r="W48" i="5"/>
  <c r="X48" i="5"/>
  <c r="E51" i="4"/>
  <c r="F51" i="4" s="1"/>
  <c r="G51" i="4" s="1"/>
  <c r="H51" i="4" s="1"/>
  <c r="I51" i="4" s="1"/>
  <c r="K49" i="2"/>
  <c r="J49" i="2"/>
  <c r="AE56" i="2" l="1"/>
  <c r="AF55" i="2"/>
  <c r="AG55" i="2" s="1"/>
  <c r="P55" i="1" s="1"/>
  <c r="F50" i="5"/>
  <c r="R50" i="2"/>
  <c r="G50" i="5" s="1"/>
  <c r="Q50" i="2"/>
  <c r="E50" i="5" s="1"/>
  <c r="C53" i="1"/>
  <c r="Y51" i="5"/>
  <c r="V51" i="5"/>
  <c r="O51" i="2"/>
  <c r="P51" i="2" s="1"/>
  <c r="I51" i="2"/>
  <c r="AA50" i="5"/>
  <c r="Z50" i="5"/>
  <c r="X50" i="5"/>
  <c r="W50" i="5"/>
  <c r="E52" i="4"/>
  <c r="F52" i="4" s="1"/>
  <c r="G52" i="4" s="1"/>
  <c r="H52" i="4" s="1"/>
  <c r="I52" i="4" s="1"/>
  <c r="AJ52" i="2"/>
  <c r="H52" i="2"/>
  <c r="K52" i="5"/>
  <c r="I52" i="5" s="1"/>
  <c r="N52" i="5"/>
  <c r="K50" i="2"/>
  <c r="J50" i="2"/>
  <c r="X53" i="6"/>
  <c r="AC53" i="6"/>
  <c r="W53" i="6"/>
  <c r="L52" i="5"/>
  <c r="M52" i="5" s="1"/>
  <c r="AI53" i="6"/>
  <c r="AG53" i="6"/>
  <c r="AE53" i="6"/>
  <c r="M53" i="1"/>
  <c r="N53" i="1" s="1"/>
  <c r="G53" i="1"/>
  <c r="Q54" i="1"/>
  <c r="B53" i="4" s="1"/>
  <c r="D53" i="4" s="1"/>
  <c r="K54" i="1"/>
  <c r="C54" i="1"/>
  <c r="G54" i="1" l="1"/>
  <c r="M54" i="1"/>
  <c r="N54" i="1" s="1"/>
  <c r="D54" i="6"/>
  <c r="O54" i="6"/>
  <c r="S54" i="6"/>
  <c r="Q54" i="6"/>
  <c r="K54" i="6"/>
  <c r="J53" i="5"/>
  <c r="M54" i="6"/>
  <c r="AH53" i="2"/>
  <c r="R53" i="1" s="1"/>
  <c r="J53" i="1"/>
  <c r="G53" i="2"/>
  <c r="B53" i="5"/>
  <c r="H53" i="5" s="1"/>
  <c r="AA51" i="5"/>
  <c r="Z51" i="5"/>
  <c r="Y52" i="5"/>
  <c r="V52" i="5"/>
  <c r="I52" i="2"/>
  <c r="O52" i="2"/>
  <c r="P52" i="2" s="1"/>
  <c r="S55" i="6"/>
  <c r="O55" i="6"/>
  <c r="J54" i="5"/>
  <c r="M55" i="6"/>
  <c r="Q55" i="6"/>
  <c r="D55" i="6"/>
  <c r="K55" i="6"/>
  <c r="G54" i="2"/>
  <c r="AH54" i="2"/>
  <c r="R54" i="1" s="1"/>
  <c r="J54" i="1"/>
  <c r="B54" i="5"/>
  <c r="H54" i="5" s="1"/>
  <c r="K51" i="2"/>
  <c r="J51" i="2"/>
  <c r="K55" i="1"/>
  <c r="Q55" i="1"/>
  <c r="B54" i="4" s="1"/>
  <c r="D54" i="4" s="1"/>
  <c r="E53" i="4"/>
  <c r="F53" i="4" s="1"/>
  <c r="G53" i="4" s="1"/>
  <c r="H53" i="4" s="1"/>
  <c r="I53" i="4" s="1"/>
  <c r="F51" i="5"/>
  <c r="R51" i="2"/>
  <c r="G51" i="5" s="1"/>
  <c r="Q51" i="2"/>
  <c r="E51" i="5" s="1"/>
  <c r="W51" i="5"/>
  <c r="X51" i="5"/>
  <c r="AF56" i="2"/>
  <c r="AG56" i="2" s="1"/>
  <c r="P56" i="1" s="1"/>
  <c r="AE57" i="2"/>
  <c r="E54" i="4" l="1"/>
  <c r="F54" i="4" s="1"/>
  <c r="G54" i="4" s="1"/>
  <c r="H54" i="4" s="1"/>
  <c r="I54" i="4" s="1"/>
  <c r="F52" i="5"/>
  <c r="R52" i="2"/>
  <c r="G52" i="5" s="1"/>
  <c r="Q52" i="2"/>
  <c r="E52" i="5" s="1"/>
  <c r="AJ54" i="2"/>
  <c r="H54" i="2"/>
  <c r="AA52" i="5"/>
  <c r="Z52" i="5"/>
  <c r="C55" i="1"/>
  <c r="AI54" i="6"/>
  <c r="AG54" i="6"/>
  <c r="AE54" i="6"/>
  <c r="AC54" i="6"/>
  <c r="X54" i="6"/>
  <c r="L53" i="5"/>
  <c r="M53" i="5" s="1"/>
  <c r="W54" i="6"/>
  <c r="N53" i="5"/>
  <c r="K53" i="5"/>
  <c r="I53" i="5" s="1"/>
  <c r="K52" i="2"/>
  <c r="J52" i="2"/>
  <c r="G55" i="1"/>
  <c r="AJ53" i="2"/>
  <c r="H53" i="2"/>
  <c r="AI55" i="6"/>
  <c r="W55" i="6"/>
  <c r="AG55" i="6"/>
  <c r="AE55" i="6"/>
  <c r="AC55" i="6"/>
  <c r="X55" i="6"/>
  <c r="L54" i="5"/>
  <c r="M54" i="5" s="1"/>
  <c r="AF57" i="2"/>
  <c r="AG57" i="2" s="1"/>
  <c r="P57" i="1" s="1"/>
  <c r="AE58" i="2"/>
  <c r="K54" i="5"/>
  <c r="I54" i="5" s="1"/>
  <c r="N54" i="5"/>
  <c r="W52" i="5"/>
  <c r="X52" i="5"/>
  <c r="K56" i="1"/>
  <c r="Q56" i="1"/>
  <c r="B55" i="4" s="1"/>
  <c r="D55" i="4" s="1"/>
  <c r="Q57" i="1" l="1"/>
  <c r="B56" i="4" s="1"/>
  <c r="D56" i="4" s="1"/>
  <c r="K57" i="1"/>
  <c r="Y53" i="5"/>
  <c r="O53" i="2"/>
  <c r="P53" i="2" s="1"/>
  <c r="V53" i="5"/>
  <c r="I53" i="2"/>
  <c r="AE59" i="2"/>
  <c r="AF58" i="2"/>
  <c r="AG58" i="2" s="1"/>
  <c r="P58" i="1" s="1"/>
  <c r="E55" i="4"/>
  <c r="F55" i="4" s="1"/>
  <c r="G55" i="4" s="1"/>
  <c r="H55" i="4" s="1"/>
  <c r="I55" i="4" s="1"/>
  <c r="C56" i="1"/>
  <c r="K56" i="6"/>
  <c r="D56" i="6"/>
  <c r="Q56" i="6"/>
  <c r="O56" i="6"/>
  <c r="J55" i="5"/>
  <c r="M56" i="6"/>
  <c r="S56" i="6"/>
  <c r="AH55" i="2"/>
  <c r="R55" i="1" s="1"/>
  <c r="G55" i="2"/>
  <c r="J55" i="1"/>
  <c r="B55" i="5"/>
  <c r="H55" i="5" s="1"/>
  <c r="Y54" i="5"/>
  <c r="V54" i="5"/>
  <c r="O54" i="2"/>
  <c r="P54" i="2" s="1"/>
  <c r="I54" i="2"/>
  <c r="M55" i="1"/>
  <c r="N55" i="1" s="1"/>
  <c r="G56" i="1"/>
  <c r="Q57" i="6" l="1"/>
  <c r="O57" i="6"/>
  <c r="D57" i="6"/>
  <c r="K57" i="6"/>
  <c r="J56" i="5"/>
  <c r="S57" i="6"/>
  <c r="M57" i="6"/>
  <c r="G56" i="2"/>
  <c r="AH56" i="2"/>
  <c r="R56" i="1" s="1"/>
  <c r="J56" i="1"/>
  <c r="B56" i="5"/>
  <c r="H56" i="5" s="1"/>
  <c r="M56" i="1"/>
  <c r="N56" i="1" s="1"/>
  <c r="F53" i="5"/>
  <c r="Q53" i="2"/>
  <c r="E53" i="5" s="1"/>
  <c r="R53" i="2"/>
  <c r="G53" i="5" s="1"/>
  <c r="AA53" i="5"/>
  <c r="Z53" i="5"/>
  <c r="K55" i="5"/>
  <c r="I55" i="5" s="1"/>
  <c r="N55" i="5"/>
  <c r="M57" i="1"/>
  <c r="N57" i="1" s="1"/>
  <c r="G57" i="1"/>
  <c r="AF59" i="2"/>
  <c r="AG59" i="2" s="1"/>
  <c r="P59" i="1" s="1"/>
  <c r="AE60" i="2"/>
  <c r="K54" i="2"/>
  <c r="J54" i="2"/>
  <c r="F54" i="5"/>
  <c r="R54" i="2"/>
  <c r="G54" i="5" s="1"/>
  <c r="Q54" i="2"/>
  <c r="E54" i="5" s="1"/>
  <c r="X54" i="5"/>
  <c r="W54" i="5"/>
  <c r="E56" i="4"/>
  <c r="F56" i="4" s="1"/>
  <c r="G56" i="4" s="1"/>
  <c r="H56" i="4" s="1"/>
  <c r="I56" i="4" s="1"/>
  <c r="AI56" i="6"/>
  <c r="AG56" i="6"/>
  <c r="X56" i="6"/>
  <c r="AC56" i="6"/>
  <c r="AE56" i="6"/>
  <c r="L55" i="5"/>
  <c r="M55" i="5" s="1"/>
  <c r="W56" i="6"/>
  <c r="Q58" i="1"/>
  <c r="B57" i="4" s="1"/>
  <c r="D57" i="4" s="1"/>
  <c r="K58" i="1"/>
  <c r="K53" i="2"/>
  <c r="J53" i="2"/>
  <c r="X53" i="5"/>
  <c r="W53" i="5"/>
  <c r="AA54" i="5"/>
  <c r="Z54" i="5"/>
  <c r="AJ55" i="2"/>
  <c r="H55" i="2"/>
  <c r="C57" i="1"/>
  <c r="C58" i="1" l="1"/>
  <c r="W57" i="6"/>
  <c r="AE57" i="6"/>
  <c r="AI57" i="6"/>
  <c r="AG57" i="6"/>
  <c r="AC57" i="6"/>
  <c r="X57" i="6"/>
  <c r="L56" i="5"/>
  <c r="M56" i="5" s="1"/>
  <c r="AF60" i="2"/>
  <c r="AG60" i="2" s="1"/>
  <c r="P60" i="1" s="1"/>
  <c r="AE61" i="2"/>
  <c r="AJ56" i="2"/>
  <c r="H56" i="2"/>
  <c r="K56" i="5"/>
  <c r="I56" i="5" s="1"/>
  <c r="N56" i="5"/>
  <c r="M58" i="1"/>
  <c r="N58" i="1" s="1"/>
  <c r="G58" i="1"/>
  <c r="Q59" i="1"/>
  <c r="B58" i="4" s="1"/>
  <c r="D58" i="4" s="1"/>
  <c r="K59" i="1"/>
  <c r="C59" i="1"/>
  <c r="M58" i="6"/>
  <c r="K58" i="6"/>
  <c r="S58" i="6"/>
  <c r="Q58" i="6"/>
  <c r="O58" i="6"/>
  <c r="D58" i="6"/>
  <c r="J57" i="5"/>
  <c r="AH57" i="2"/>
  <c r="R57" i="1" s="1"/>
  <c r="G57" i="2"/>
  <c r="J57" i="1"/>
  <c r="B57" i="5"/>
  <c r="H57" i="5" s="1"/>
  <c r="Y55" i="5"/>
  <c r="V55" i="5"/>
  <c r="O55" i="2"/>
  <c r="P55" i="2" s="1"/>
  <c r="I55" i="2"/>
  <c r="D59" i="6"/>
  <c r="S59" i="6"/>
  <c r="Q59" i="6"/>
  <c r="O59" i="6"/>
  <c r="K59" i="6"/>
  <c r="J58" i="5"/>
  <c r="M59" i="6"/>
  <c r="AH58" i="2"/>
  <c r="R58" i="1" s="1"/>
  <c r="J58" i="1"/>
  <c r="G58" i="2"/>
  <c r="B58" i="5"/>
  <c r="H58" i="5" s="1"/>
  <c r="E57" i="4"/>
  <c r="F57" i="4" s="1"/>
  <c r="G57" i="4" s="1"/>
  <c r="H57" i="4" s="1"/>
  <c r="I57" i="4" s="1"/>
  <c r="O60" i="6" l="1"/>
  <c r="M60" i="6"/>
  <c r="J59" i="5"/>
  <c r="K60" i="6"/>
  <c r="S60" i="6"/>
  <c r="D60" i="6"/>
  <c r="Q60" i="6"/>
  <c r="G59" i="2"/>
  <c r="AH59" i="2"/>
  <c r="R59" i="1" s="1"/>
  <c r="J59" i="1"/>
  <c r="B59" i="5"/>
  <c r="H59" i="5" s="1"/>
  <c r="N58" i="5"/>
  <c r="K58" i="5"/>
  <c r="I58" i="5" s="1"/>
  <c r="X55" i="5"/>
  <c r="W55" i="5"/>
  <c r="AF61" i="2"/>
  <c r="AG61" i="2" s="1"/>
  <c r="P61" i="1" s="1"/>
  <c r="AE62" i="2"/>
  <c r="E58" i="4"/>
  <c r="F58" i="4" s="1"/>
  <c r="G58" i="4" s="1"/>
  <c r="H58" i="4" s="1"/>
  <c r="I58" i="4" s="1"/>
  <c r="Z55" i="5"/>
  <c r="AA55" i="5"/>
  <c r="AJ57" i="2"/>
  <c r="H57" i="2"/>
  <c r="AE58" i="6"/>
  <c r="X58" i="6"/>
  <c r="W58" i="6"/>
  <c r="AI58" i="6"/>
  <c r="AG58" i="6"/>
  <c r="AC58" i="6"/>
  <c r="L57" i="5"/>
  <c r="M57" i="5" s="1"/>
  <c r="N57" i="5"/>
  <c r="K57" i="5"/>
  <c r="I57" i="5" s="1"/>
  <c r="X59" i="6"/>
  <c r="W59" i="6"/>
  <c r="AI59" i="6"/>
  <c r="AG59" i="6"/>
  <c r="L58" i="5"/>
  <c r="M58" i="5" s="1"/>
  <c r="AE59" i="6"/>
  <c r="AC59" i="6"/>
  <c r="M59" i="1"/>
  <c r="N59" i="1" s="1"/>
  <c r="G59" i="1"/>
  <c r="K55" i="2"/>
  <c r="J55" i="2"/>
  <c r="F55" i="5"/>
  <c r="Q55" i="2"/>
  <c r="E55" i="5" s="1"/>
  <c r="R55" i="2"/>
  <c r="G55" i="5" s="1"/>
  <c r="V56" i="5"/>
  <c r="Y56" i="5"/>
  <c r="I56" i="2"/>
  <c r="O56" i="2"/>
  <c r="P56" i="2" s="1"/>
  <c r="K60" i="1"/>
  <c r="Q60" i="1"/>
  <c r="B59" i="4" s="1"/>
  <c r="D59" i="4" s="1"/>
  <c r="AJ58" i="2"/>
  <c r="H58" i="2"/>
  <c r="AJ59" i="2" l="1"/>
  <c r="H59" i="2"/>
  <c r="AE63" i="2"/>
  <c r="AF62" i="2"/>
  <c r="AG62" i="2" s="1"/>
  <c r="P62" i="1" s="1"/>
  <c r="Y58" i="5"/>
  <c r="V58" i="5"/>
  <c r="O58" i="2"/>
  <c r="P58" i="2" s="1"/>
  <c r="I58" i="2"/>
  <c r="AI60" i="6"/>
  <c r="AE60" i="6"/>
  <c r="L59" i="5"/>
  <c r="M59" i="5" s="1"/>
  <c r="AC60" i="6"/>
  <c r="W60" i="6"/>
  <c r="AG60" i="6"/>
  <c r="X60" i="6"/>
  <c r="K56" i="2"/>
  <c r="J56" i="2"/>
  <c r="N59" i="5"/>
  <c r="K59" i="5"/>
  <c r="I59" i="5" s="1"/>
  <c r="E59" i="4"/>
  <c r="F59" i="4" s="1"/>
  <c r="G59" i="4" s="1"/>
  <c r="H59" i="4" s="1"/>
  <c r="I59" i="4" s="1"/>
  <c r="C60" i="1"/>
  <c r="X56" i="5"/>
  <c r="W56" i="5"/>
  <c r="Y57" i="5"/>
  <c r="V57" i="5"/>
  <c r="I57" i="2"/>
  <c r="O57" i="2"/>
  <c r="P57" i="2" s="1"/>
  <c r="Q61" i="1"/>
  <c r="B60" i="4" s="1"/>
  <c r="D60" i="4" s="1"/>
  <c r="K61" i="1"/>
  <c r="C61" i="1"/>
  <c r="M60" i="1"/>
  <c r="N60" i="1" s="1"/>
  <c r="G60" i="1"/>
  <c r="F56" i="5"/>
  <c r="R56" i="2"/>
  <c r="G56" i="5" s="1"/>
  <c r="Q56" i="2"/>
  <c r="E56" i="5" s="1"/>
  <c r="AA56" i="5"/>
  <c r="Z56" i="5"/>
  <c r="Q62" i="6" l="1"/>
  <c r="O62" i="6"/>
  <c r="D62" i="6"/>
  <c r="J61" i="5"/>
  <c r="S62" i="6"/>
  <c r="K62" i="6"/>
  <c r="M62" i="6"/>
  <c r="AH61" i="2"/>
  <c r="R61" i="1" s="1"/>
  <c r="G61" i="2"/>
  <c r="J61" i="1"/>
  <c r="B61" i="5"/>
  <c r="H61" i="5" s="1"/>
  <c r="J57" i="2"/>
  <c r="K57" i="2"/>
  <c r="Q62" i="1"/>
  <c r="B61" i="4" s="1"/>
  <c r="D61" i="4" s="1"/>
  <c r="K62" i="1"/>
  <c r="K58" i="2"/>
  <c r="J58" i="2"/>
  <c r="Z57" i="5"/>
  <c r="AA57" i="5"/>
  <c r="AF63" i="2"/>
  <c r="AG63" i="2" s="1"/>
  <c r="P63" i="1" s="1"/>
  <c r="AE64" i="2"/>
  <c r="M61" i="1"/>
  <c r="N61" i="1" s="1"/>
  <c r="G61" i="1"/>
  <c r="E60" i="4"/>
  <c r="F60" i="4" s="1"/>
  <c r="G60" i="4" s="1"/>
  <c r="H60" i="4" s="1"/>
  <c r="I60" i="4" s="1"/>
  <c r="F57" i="5"/>
  <c r="Q57" i="2"/>
  <c r="E57" i="5" s="1"/>
  <c r="R57" i="2"/>
  <c r="G57" i="5" s="1"/>
  <c r="X57" i="5"/>
  <c r="W57" i="5"/>
  <c r="D61" i="6"/>
  <c r="S61" i="6"/>
  <c r="J60" i="5"/>
  <c r="Q61" i="6"/>
  <c r="M61" i="6"/>
  <c r="O61" i="6"/>
  <c r="K61" i="6"/>
  <c r="J60" i="1"/>
  <c r="AH60" i="2"/>
  <c r="R60" i="1" s="1"/>
  <c r="G60" i="2"/>
  <c r="B60" i="5"/>
  <c r="H60" i="5" s="1"/>
  <c r="Y59" i="5"/>
  <c r="V59" i="5"/>
  <c r="O59" i="2"/>
  <c r="P59" i="2" s="1"/>
  <c r="I59" i="2"/>
  <c r="F58" i="5"/>
  <c r="Q58" i="2"/>
  <c r="E58" i="5" s="1"/>
  <c r="R58" i="2"/>
  <c r="G58" i="5" s="1"/>
  <c r="W58" i="5"/>
  <c r="X58" i="5"/>
  <c r="AA58" i="5"/>
  <c r="Z58" i="5"/>
  <c r="C62" i="1" l="1"/>
  <c r="AC61" i="6"/>
  <c r="X61" i="6"/>
  <c r="AI61" i="6"/>
  <c r="AG61" i="6"/>
  <c r="AE61" i="6"/>
  <c r="L60" i="5"/>
  <c r="M60" i="5" s="1"/>
  <c r="W61" i="6"/>
  <c r="G62" i="1"/>
  <c r="M62" i="1"/>
  <c r="N62" i="1" s="1"/>
  <c r="AJ61" i="2"/>
  <c r="H61" i="2"/>
  <c r="S63" i="6"/>
  <c r="Q63" i="6"/>
  <c r="O63" i="6"/>
  <c r="D63" i="6"/>
  <c r="J62" i="5"/>
  <c r="M63" i="6"/>
  <c r="G62" i="2"/>
  <c r="K63" i="6"/>
  <c r="AH62" i="2"/>
  <c r="R62" i="1" s="1"/>
  <c r="J62" i="1"/>
  <c r="B62" i="5"/>
  <c r="H62" i="5" s="1"/>
  <c r="E61" i="4"/>
  <c r="F61" i="4"/>
  <c r="G61" i="4" s="1"/>
  <c r="H61" i="4" s="1"/>
  <c r="I61" i="4" s="1"/>
  <c r="K59" i="2"/>
  <c r="J59" i="2"/>
  <c r="N61" i="5"/>
  <c r="K61" i="5"/>
  <c r="I61" i="5" s="1"/>
  <c r="AI62" i="6"/>
  <c r="W62" i="6"/>
  <c r="AC62" i="6"/>
  <c r="X62" i="6"/>
  <c r="AG62" i="6"/>
  <c r="AE62" i="6"/>
  <c r="L61" i="5"/>
  <c r="M61" i="5" s="1"/>
  <c r="F59" i="5"/>
  <c r="R59" i="2"/>
  <c r="G59" i="5" s="1"/>
  <c r="Q59" i="2"/>
  <c r="E59" i="5" s="1"/>
  <c r="N60" i="5"/>
  <c r="K60" i="5"/>
  <c r="I60" i="5" s="1"/>
  <c r="Z59" i="5"/>
  <c r="AA59" i="5"/>
  <c r="AE65" i="2"/>
  <c r="AF64" i="2"/>
  <c r="AG64" i="2" s="1"/>
  <c r="P64" i="1" s="1"/>
  <c r="X59" i="5"/>
  <c r="W59" i="5"/>
  <c r="AJ60" i="2"/>
  <c r="H60" i="2"/>
  <c r="K63" i="1"/>
  <c r="Q63" i="1"/>
  <c r="B62" i="4" s="1"/>
  <c r="D62" i="4" s="1"/>
  <c r="C63" i="1" l="1"/>
  <c r="E62" i="4"/>
  <c r="F62" i="4" s="1"/>
  <c r="G62" i="4" s="1"/>
  <c r="H62" i="4" s="1"/>
  <c r="I62" i="4" s="1"/>
  <c r="AJ62" i="2"/>
  <c r="H62" i="2"/>
  <c r="N62" i="5"/>
  <c r="K62" i="5"/>
  <c r="M63" i="1"/>
  <c r="N63" i="1" s="1"/>
  <c r="G63" i="1"/>
  <c r="Y61" i="5"/>
  <c r="V61" i="5"/>
  <c r="O61" i="2"/>
  <c r="P61" i="2" s="1"/>
  <c r="I61" i="2"/>
  <c r="AG63" i="6"/>
  <c r="AE63" i="6"/>
  <c r="AC63" i="6"/>
  <c r="W63" i="6"/>
  <c r="AI63" i="6"/>
  <c r="X63" i="6"/>
  <c r="L62" i="5"/>
  <c r="M62" i="5" s="1"/>
  <c r="S64" i="6"/>
  <c r="Q64" i="6"/>
  <c r="M64" i="6"/>
  <c r="K64" i="6"/>
  <c r="D64" i="6"/>
  <c r="O64" i="6"/>
  <c r="J63" i="5"/>
  <c r="J63" i="1"/>
  <c r="AH63" i="2"/>
  <c r="R63" i="1" s="1"/>
  <c r="G63" i="2"/>
  <c r="B63" i="5"/>
  <c r="H63" i="5" s="1"/>
  <c r="Q64" i="1"/>
  <c r="B63" i="4" s="1"/>
  <c r="D63" i="4" s="1"/>
  <c r="K64" i="1"/>
  <c r="AF65" i="2"/>
  <c r="AG65" i="2" s="1"/>
  <c r="P65" i="1" s="1"/>
  <c r="AE66" i="2"/>
  <c r="I62" i="5"/>
  <c r="Y60" i="5"/>
  <c r="V60" i="5"/>
  <c r="I60" i="2"/>
  <c r="O60" i="2"/>
  <c r="P60" i="2" s="1"/>
  <c r="Z60" i="5" l="1"/>
  <c r="AA60" i="5"/>
  <c r="AE67" i="2"/>
  <c r="AF66" i="2"/>
  <c r="AG66" i="2" s="1"/>
  <c r="P66" i="1" s="1"/>
  <c r="F60" i="5"/>
  <c r="R60" i="2"/>
  <c r="G60" i="5" s="1"/>
  <c r="Q60" i="2"/>
  <c r="E60" i="5" s="1"/>
  <c r="K65" i="1"/>
  <c r="Q65" i="1"/>
  <c r="B64" i="4" s="1"/>
  <c r="D64" i="4" s="1"/>
  <c r="C65" i="1"/>
  <c r="J61" i="2"/>
  <c r="K61" i="2"/>
  <c r="X61" i="5"/>
  <c r="W61" i="5"/>
  <c r="AJ63" i="2"/>
  <c r="H63" i="2"/>
  <c r="Z61" i="5"/>
  <c r="AA61" i="5"/>
  <c r="J60" i="2"/>
  <c r="K60" i="2"/>
  <c r="G64" i="1"/>
  <c r="F61" i="5"/>
  <c r="R61" i="2"/>
  <c r="G61" i="5" s="1"/>
  <c r="Q61" i="2"/>
  <c r="E61" i="5" s="1"/>
  <c r="AG64" i="6"/>
  <c r="AE64" i="6"/>
  <c r="AC64" i="6"/>
  <c r="W64" i="6"/>
  <c r="AI64" i="6"/>
  <c r="X64" i="6"/>
  <c r="L63" i="5"/>
  <c r="M63" i="5" s="1"/>
  <c r="N63" i="5"/>
  <c r="K63" i="5"/>
  <c r="I63" i="5" s="1"/>
  <c r="Y62" i="5"/>
  <c r="V62" i="5"/>
  <c r="I62" i="2"/>
  <c r="O62" i="2"/>
  <c r="P62" i="2" s="1"/>
  <c r="W60" i="5"/>
  <c r="X60" i="5"/>
  <c r="E63" i="4"/>
  <c r="F63" i="4" s="1"/>
  <c r="G63" i="4" s="1"/>
  <c r="H63" i="4" s="1"/>
  <c r="I63" i="4" s="1"/>
  <c r="C64" i="1"/>
  <c r="M64" i="1" s="1"/>
  <c r="N64" i="1" s="1"/>
  <c r="K62" i="2" l="1"/>
  <c r="J62" i="2"/>
  <c r="S66" i="6"/>
  <c r="O66" i="6"/>
  <c r="Q66" i="6"/>
  <c r="D66" i="6"/>
  <c r="AH65" i="2"/>
  <c r="R65" i="1" s="1"/>
  <c r="K66" i="6"/>
  <c r="J65" i="5"/>
  <c r="M66" i="6"/>
  <c r="G65" i="2"/>
  <c r="J65" i="1"/>
  <c r="B65" i="5"/>
  <c r="H65" i="5" s="1"/>
  <c r="AA62" i="5"/>
  <c r="Z62" i="5"/>
  <c r="M65" i="1"/>
  <c r="N65" i="1" s="1"/>
  <c r="G65" i="1"/>
  <c r="Q66" i="1"/>
  <c r="B65" i="4" s="1"/>
  <c r="D65" i="4" s="1"/>
  <c r="K66" i="1"/>
  <c r="F62" i="5"/>
  <c r="R62" i="2"/>
  <c r="G62" i="5" s="1"/>
  <c r="Q62" i="2"/>
  <c r="E62" i="5" s="1"/>
  <c r="W62" i="5"/>
  <c r="X62" i="5"/>
  <c r="AF67" i="2"/>
  <c r="AG67" i="2" s="1"/>
  <c r="P67" i="1" s="1"/>
  <c r="AE68" i="2"/>
  <c r="Y63" i="5"/>
  <c r="V63" i="5"/>
  <c r="O63" i="2"/>
  <c r="P63" i="2" s="1"/>
  <c r="I63" i="2"/>
  <c r="E64" i="4"/>
  <c r="F64" i="4" s="1"/>
  <c r="G64" i="4" s="1"/>
  <c r="H64" i="4" s="1"/>
  <c r="I64" i="4" s="1"/>
  <c r="K65" i="6"/>
  <c r="J64" i="5"/>
  <c r="D65" i="6"/>
  <c r="S65" i="6"/>
  <c r="O65" i="6"/>
  <c r="Q65" i="6"/>
  <c r="M65" i="6"/>
  <c r="G64" i="2"/>
  <c r="J64" i="1"/>
  <c r="AH64" i="2"/>
  <c r="R64" i="1" s="1"/>
  <c r="B64" i="5"/>
  <c r="H64" i="5" s="1"/>
  <c r="C66" i="1" l="1"/>
  <c r="G66" i="1"/>
  <c r="M66" i="1"/>
  <c r="N66" i="1" s="1"/>
  <c r="J63" i="2"/>
  <c r="K63" i="2"/>
  <c r="Q67" i="1"/>
  <c r="B66" i="4" s="1"/>
  <c r="D66" i="4" s="1"/>
  <c r="K67" i="1"/>
  <c r="C67" i="1"/>
  <c r="E65" i="4"/>
  <c r="F65" i="4"/>
  <c r="G65" i="4" s="1"/>
  <c r="H65" i="4" s="1"/>
  <c r="I65" i="4" s="1"/>
  <c r="F63" i="5"/>
  <c r="R63" i="2"/>
  <c r="G63" i="5" s="1"/>
  <c r="Q63" i="2"/>
  <c r="E63" i="5" s="1"/>
  <c r="K65" i="5"/>
  <c r="I65" i="5" s="1"/>
  <c r="N65" i="5"/>
  <c r="AI65" i="6"/>
  <c r="AG65" i="6"/>
  <c r="AE65" i="6"/>
  <c r="W65" i="6"/>
  <c r="AC65" i="6"/>
  <c r="X65" i="6"/>
  <c r="L64" i="5"/>
  <c r="M64" i="5" s="1"/>
  <c r="N64" i="5"/>
  <c r="K64" i="5"/>
  <c r="I64" i="5" s="1"/>
  <c r="X63" i="5"/>
  <c r="W63" i="5"/>
  <c r="AC66" i="6"/>
  <c r="X66" i="6"/>
  <c r="W66" i="6"/>
  <c r="L65" i="5"/>
  <c r="M65" i="5" s="1"/>
  <c r="AG66" i="6"/>
  <c r="AE66" i="6"/>
  <c r="AI66" i="6"/>
  <c r="AJ65" i="2"/>
  <c r="H65" i="2"/>
  <c r="AA63" i="5"/>
  <c r="Z63" i="5"/>
  <c r="AE69" i="2"/>
  <c r="AF68" i="2"/>
  <c r="AG68" i="2" s="1"/>
  <c r="P68" i="1" s="1"/>
  <c r="AJ64" i="2"/>
  <c r="H64" i="2"/>
  <c r="D68" i="6" l="1"/>
  <c r="K68" i="6"/>
  <c r="S68" i="6"/>
  <c r="O68" i="6"/>
  <c r="Q68" i="6"/>
  <c r="M68" i="6"/>
  <c r="AH67" i="2"/>
  <c r="R67" i="1" s="1"/>
  <c r="G67" i="2"/>
  <c r="J67" i="5"/>
  <c r="J67" i="1"/>
  <c r="B67" i="5"/>
  <c r="H67" i="5" s="1"/>
  <c r="V65" i="5"/>
  <c r="O65" i="2"/>
  <c r="P65" i="2" s="1"/>
  <c r="Y65" i="5"/>
  <c r="I65" i="2"/>
  <c r="AF69" i="2"/>
  <c r="AG69" i="2" s="1"/>
  <c r="P69" i="1" s="1"/>
  <c r="AE70" i="2"/>
  <c r="G67" i="1"/>
  <c r="M67" i="1"/>
  <c r="N67" i="1" s="1"/>
  <c r="F66" i="4"/>
  <c r="G66" i="4" s="1"/>
  <c r="H66" i="4" s="1"/>
  <c r="I66" i="4" s="1"/>
  <c r="E66" i="4"/>
  <c r="Y64" i="5"/>
  <c r="V64" i="5"/>
  <c r="O64" i="2"/>
  <c r="P64" i="2" s="1"/>
  <c r="I64" i="2"/>
  <c r="Q68" i="1"/>
  <c r="B67" i="4" s="1"/>
  <c r="D67" i="4" s="1"/>
  <c r="K68" i="1"/>
  <c r="M67" i="6"/>
  <c r="K67" i="6"/>
  <c r="Q67" i="6"/>
  <c r="O67" i="6"/>
  <c r="J66" i="5"/>
  <c r="S67" i="6"/>
  <c r="D67" i="6"/>
  <c r="AH66" i="2"/>
  <c r="R66" i="1" s="1"/>
  <c r="G66" i="2"/>
  <c r="J66" i="1"/>
  <c r="B66" i="5"/>
  <c r="H66" i="5" s="1"/>
  <c r="AJ66" i="2" l="1"/>
  <c r="H66" i="2"/>
  <c r="AI67" i="6"/>
  <c r="AC67" i="6"/>
  <c r="X67" i="6"/>
  <c r="W67" i="6"/>
  <c r="AG67" i="6"/>
  <c r="L66" i="5"/>
  <c r="M66" i="5" s="1"/>
  <c r="AE67" i="6"/>
  <c r="AA65" i="5"/>
  <c r="Z65" i="5"/>
  <c r="K67" i="5"/>
  <c r="I67" i="5" s="1"/>
  <c r="N67" i="5"/>
  <c r="AJ67" i="2"/>
  <c r="H67" i="2"/>
  <c r="F64" i="5"/>
  <c r="R64" i="2"/>
  <c r="G64" i="5" s="1"/>
  <c r="Q64" i="2"/>
  <c r="E64" i="5" s="1"/>
  <c r="I66" i="5"/>
  <c r="J65" i="2"/>
  <c r="K65" i="2"/>
  <c r="N66" i="5"/>
  <c r="K66" i="5"/>
  <c r="W65" i="5"/>
  <c r="X65" i="5"/>
  <c r="G68" i="1"/>
  <c r="K64" i="2"/>
  <c r="J64" i="2"/>
  <c r="K69" i="1"/>
  <c r="Q69" i="1"/>
  <c r="B68" i="4" s="1"/>
  <c r="D68" i="4" s="1"/>
  <c r="X68" i="6"/>
  <c r="W68" i="6"/>
  <c r="AG68" i="6"/>
  <c r="L67" i="5"/>
  <c r="M67" i="5" s="1"/>
  <c r="AC68" i="6"/>
  <c r="AE68" i="6"/>
  <c r="AI68" i="6"/>
  <c r="Z64" i="5"/>
  <c r="AA64" i="5"/>
  <c r="AE71" i="2"/>
  <c r="AF70" i="2"/>
  <c r="AG70" i="2" s="1"/>
  <c r="P70" i="1" s="1"/>
  <c r="F65" i="5"/>
  <c r="R65" i="2"/>
  <c r="G65" i="5" s="1"/>
  <c r="Q65" i="2"/>
  <c r="E65" i="5" s="1"/>
  <c r="E67" i="4"/>
  <c r="F67" i="4" s="1"/>
  <c r="G67" i="4" s="1"/>
  <c r="H67" i="4" s="1"/>
  <c r="I67" i="4" s="1"/>
  <c r="C68" i="1"/>
  <c r="X64" i="5"/>
  <c r="W64" i="5"/>
  <c r="C69" i="1" l="1"/>
  <c r="O69" i="6"/>
  <c r="M69" i="6"/>
  <c r="D69" i="6"/>
  <c r="J68" i="5"/>
  <c r="S69" i="6"/>
  <c r="Q69" i="6"/>
  <c r="K69" i="6"/>
  <c r="G68" i="2"/>
  <c r="AH68" i="2"/>
  <c r="R68" i="1" s="1"/>
  <c r="J68" i="1"/>
  <c r="B68" i="5"/>
  <c r="H68" i="5" s="1"/>
  <c r="M68" i="1"/>
  <c r="N68" i="1" s="1"/>
  <c r="Y67" i="5"/>
  <c r="V67" i="5"/>
  <c r="I67" i="2"/>
  <c r="O67" i="2"/>
  <c r="P67" i="2" s="1"/>
  <c r="E68" i="4"/>
  <c r="F68" i="4"/>
  <c r="G68" i="4" s="1"/>
  <c r="H68" i="4" s="1"/>
  <c r="I68" i="4" s="1"/>
  <c r="Q70" i="1"/>
  <c r="B69" i="4" s="1"/>
  <c r="D69" i="4" s="1"/>
  <c r="K70" i="1"/>
  <c r="Y66" i="5"/>
  <c r="V66" i="5"/>
  <c r="I66" i="2"/>
  <c r="O66" i="2"/>
  <c r="P66" i="2" s="1"/>
  <c r="M69" i="1"/>
  <c r="N69" i="1" s="1"/>
  <c r="G69" i="1"/>
  <c r="AE72" i="2"/>
  <c r="AF71" i="2"/>
  <c r="AG71" i="2" s="1"/>
  <c r="P71" i="1" s="1"/>
  <c r="AA67" i="5" l="1"/>
  <c r="Z67" i="5"/>
  <c r="W67" i="5"/>
  <c r="X67" i="5"/>
  <c r="X66" i="5"/>
  <c r="W66" i="5"/>
  <c r="E69" i="4"/>
  <c r="F69" i="4"/>
  <c r="G69" i="4" s="1"/>
  <c r="H69" i="4" s="1"/>
  <c r="I69" i="4" s="1"/>
  <c r="AE73" i="2"/>
  <c r="AF72" i="2"/>
  <c r="AG72" i="2" s="1"/>
  <c r="P72" i="1" s="1"/>
  <c r="AG69" i="6"/>
  <c r="AC69" i="6"/>
  <c r="AI69" i="6"/>
  <c r="AE69" i="6"/>
  <c r="X69" i="6"/>
  <c r="L68" i="5"/>
  <c r="M68" i="5" s="1"/>
  <c r="W69" i="6"/>
  <c r="K66" i="2"/>
  <c r="J66" i="2"/>
  <c r="C70" i="1"/>
  <c r="M70" i="1" s="1"/>
  <c r="N70" i="1" s="1"/>
  <c r="Q67" i="2"/>
  <c r="E67" i="5" s="1"/>
  <c r="F67" i="5"/>
  <c r="R67" i="2"/>
  <c r="G67" i="5" s="1"/>
  <c r="J67" i="2"/>
  <c r="K67" i="2"/>
  <c r="K71" i="1"/>
  <c r="Q71" i="1"/>
  <c r="B70" i="4" s="1"/>
  <c r="D70" i="4" s="1"/>
  <c r="AJ68" i="2"/>
  <c r="H68" i="2"/>
  <c r="F66" i="5"/>
  <c r="Q66" i="2"/>
  <c r="E66" i="5" s="1"/>
  <c r="R66" i="2"/>
  <c r="G66" i="5" s="1"/>
  <c r="N68" i="5"/>
  <c r="K68" i="5"/>
  <c r="I68" i="5" s="1"/>
  <c r="AA66" i="5"/>
  <c r="Z66" i="5"/>
  <c r="G70" i="1"/>
  <c r="D70" i="6"/>
  <c r="J69" i="5"/>
  <c r="K70" i="6"/>
  <c r="S70" i="6"/>
  <c r="O70" i="6"/>
  <c r="Q70" i="6"/>
  <c r="M70" i="6"/>
  <c r="AH69" i="2"/>
  <c r="R69" i="1" s="1"/>
  <c r="G69" i="2"/>
  <c r="J69" i="1"/>
  <c r="B69" i="5"/>
  <c r="H69" i="5" s="1"/>
  <c r="Q72" i="1" l="1"/>
  <c r="B71" i="4" s="1"/>
  <c r="D71" i="4" s="1"/>
  <c r="K72" i="1"/>
  <c r="AJ69" i="2"/>
  <c r="H69" i="2"/>
  <c r="AE74" i="2"/>
  <c r="AF73" i="2"/>
  <c r="AG73" i="2" s="1"/>
  <c r="P73" i="1" s="1"/>
  <c r="I69" i="5"/>
  <c r="X70" i="6"/>
  <c r="W70" i="6"/>
  <c r="AG70" i="6"/>
  <c r="AE70" i="6"/>
  <c r="AC70" i="6"/>
  <c r="L69" i="5"/>
  <c r="M69" i="5" s="1"/>
  <c r="AI70" i="6"/>
  <c r="M71" i="1"/>
  <c r="N71" i="1" s="1"/>
  <c r="G71" i="1"/>
  <c r="Y68" i="5"/>
  <c r="V68" i="5"/>
  <c r="I68" i="2"/>
  <c r="O68" i="2"/>
  <c r="P68" i="2" s="1"/>
  <c r="E70" i="4"/>
  <c r="F70" i="4" s="1"/>
  <c r="G70" i="4" s="1"/>
  <c r="H70" i="4" s="1"/>
  <c r="I70" i="4" s="1"/>
  <c r="C71" i="1"/>
  <c r="K69" i="5"/>
  <c r="N69" i="5"/>
  <c r="Q71" i="6"/>
  <c r="O71" i="6"/>
  <c r="K71" i="6"/>
  <c r="S71" i="6"/>
  <c r="J70" i="5"/>
  <c r="M71" i="6"/>
  <c r="D71" i="6"/>
  <c r="AH70" i="2"/>
  <c r="R70" i="1" s="1"/>
  <c r="J70" i="1"/>
  <c r="G70" i="2"/>
  <c r="B70" i="5"/>
  <c r="H70" i="5" s="1"/>
  <c r="AG71" i="6" l="1"/>
  <c r="W71" i="6"/>
  <c r="X71" i="6"/>
  <c r="L70" i="5"/>
  <c r="M70" i="5" s="1"/>
  <c r="AI71" i="6"/>
  <c r="AE71" i="6"/>
  <c r="AC71" i="6"/>
  <c r="J68" i="2"/>
  <c r="K68" i="2"/>
  <c r="X68" i="5"/>
  <c r="W68" i="5"/>
  <c r="Q73" i="1"/>
  <c r="B72" i="4" s="1"/>
  <c r="D72" i="4" s="1"/>
  <c r="K73" i="1"/>
  <c r="M72" i="1"/>
  <c r="N72" i="1" s="1"/>
  <c r="G72" i="1"/>
  <c r="AA68" i="5"/>
  <c r="Z68" i="5"/>
  <c r="N70" i="5"/>
  <c r="K70" i="5"/>
  <c r="I70" i="5" s="1"/>
  <c r="AF74" i="2"/>
  <c r="AG74" i="2" s="1"/>
  <c r="P74" i="1" s="1"/>
  <c r="AE75" i="2"/>
  <c r="M72" i="6"/>
  <c r="K72" i="6"/>
  <c r="D72" i="6"/>
  <c r="S72" i="6"/>
  <c r="O72" i="6"/>
  <c r="Q72" i="6"/>
  <c r="J71" i="5"/>
  <c r="G71" i="2"/>
  <c r="J71" i="1"/>
  <c r="AH71" i="2"/>
  <c r="R71" i="1" s="1"/>
  <c r="B71" i="5"/>
  <c r="H71" i="5" s="1"/>
  <c r="E71" i="4"/>
  <c r="F71" i="4"/>
  <c r="G71" i="4" s="1"/>
  <c r="H71" i="4" s="1"/>
  <c r="I71" i="4" s="1"/>
  <c r="AJ70" i="2"/>
  <c r="H70" i="2"/>
  <c r="Y69" i="5"/>
  <c r="I69" i="2"/>
  <c r="V69" i="5"/>
  <c r="O69" i="2"/>
  <c r="P69" i="2" s="1"/>
  <c r="F68" i="5"/>
  <c r="Q68" i="2"/>
  <c r="E68" i="5" s="1"/>
  <c r="R68" i="2"/>
  <c r="G68" i="5" s="1"/>
  <c r="C72" i="1"/>
  <c r="C73" i="1" l="1"/>
  <c r="AA69" i="5"/>
  <c r="Z69" i="5"/>
  <c r="AE72" i="6"/>
  <c r="AC72" i="6"/>
  <c r="AI72" i="6"/>
  <c r="X72" i="6"/>
  <c r="W72" i="6"/>
  <c r="L71" i="5"/>
  <c r="M71" i="5" s="1"/>
  <c r="AG72" i="6"/>
  <c r="Y70" i="5"/>
  <c r="V70" i="5"/>
  <c r="I70" i="2"/>
  <c r="O70" i="2"/>
  <c r="P70" i="2" s="1"/>
  <c r="J69" i="2"/>
  <c r="K69" i="2"/>
  <c r="E72" i="4"/>
  <c r="F72" i="4" s="1"/>
  <c r="G72" i="4" s="1"/>
  <c r="H72" i="4" s="1"/>
  <c r="I72" i="4" s="1"/>
  <c r="K71" i="5"/>
  <c r="I71" i="5" s="1"/>
  <c r="N71" i="5"/>
  <c r="F69" i="5"/>
  <c r="Q69" i="2"/>
  <c r="E69" i="5" s="1"/>
  <c r="R69" i="2"/>
  <c r="G69" i="5" s="1"/>
  <c r="AF75" i="2"/>
  <c r="AG75" i="2" s="1"/>
  <c r="P75" i="1" s="1"/>
  <c r="AE76" i="2"/>
  <c r="G73" i="1"/>
  <c r="M73" i="1"/>
  <c r="N73" i="1" s="1"/>
  <c r="D74" i="6"/>
  <c r="O74" i="6"/>
  <c r="Q74" i="6"/>
  <c r="S74" i="6"/>
  <c r="M74" i="6"/>
  <c r="J73" i="5"/>
  <c r="G73" i="2"/>
  <c r="K74" i="6"/>
  <c r="AH73" i="2"/>
  <c r="R73" i="1" s="1"/>
  <c r="J73" i="1"/>
  <c r="B73" i="5"/>
  <c r="H73" i="5" s="1"/>
  <c r="AJ71" i="2"/>
  <c r="H71" i="2"/>
  <c r="S73" i="6"/>
  <c r="Q73" i="6"/>
  <c r="M73" i="6"/>
  <c r="K73" i="6"/>
  <c r="D73" i="6"/>
  <c r="O73" i="6"/>
  <c r="J72" i="5"/>
  <c r="AH72" i="2"/>
  <c r="R72" i="1" s="1"/>
  <c r="G72" i="2"/>
  <c r="J72" i="1"/>
  <c r="B72" i="5"/>
  <c r="H72" i="5" s="1"/>
  <c r="X69" i="5"/>
  <c r="W69" i="5"/>
  <c r="K74" i="1"/>
  <c r="Q74" i="1"/>
  <c r="B73" i="4" s="1"/>
  <c r="D73" i="4" s="1"/>
  <c r="I71" i="2" l="1"/>
  <c r="Y71" i="5"/>
  <c r="V71" i="5"/>
  <c r="O71" i="2"/>
  <c r="P71" i="2" s="1"/>
  <c r="AJ73" i="2"/>
  <c r="H73" i="2"/>
  <c r="X73" i="6"/>
  <c r="AI73" i="6"/>
  <c r="AG73" i="6"/>
  <c r="AE73" i="6"/>
  <c r="AC73" i="6"/>
  <c r="W73" i="6"/>
  <c r="L72" i="5"/>
  <c r="M72" i="5" s="1"/>
  <c r="C74" i="1"/>
  <c r="W70" i="5"/>
  <c r="X70" i="5"/>
  <c r="G74" i="1"/>
  <c r="M74" i="1"/>
  <c r="N74" i="1" s="1"/>
  <c r="E73" i="4"/>
  <c r="F73" i="4" s="1"/>
  <c r="G73" i="4" s="1"/>
  <c r="H73" i="4" s="1"/>
  <c r="I73" i="4" s="1"/>
  <c r="F70" i="5"/>
  <c r="R70" i="2"/>
  <c r="G70" i="5" s="1"/>
  <c r="Q70" i="2"/>
  <c r="E70" i="5" s="1"/>
  <c r="AA70" i="5"/>
  <c r="Z70" i="5"/>
  <c r="AJ72" i="2"/>
  <c r="H72" i="2"/>
  <c r="N72" i="5"/>
  <c r="K72" i="5"/>
  <c r="I72" i="5" s="1"/>
  <c r="AE77" i="2"/>
  <c r="AF76" i="2"/>
  <c r="AG76" i="2" s="1"/>
  <c r="P76" i="1" s="1"/>
  <c r="AI74" i="6"/>
  <c r="AG74" i="6"/>
  <c r="AE74" i="6"/>
  <c r="AC74" i="6"/>
  <c r="X74" i="6"/>
  <c r="W74" i="6"/>
  <c r="L73" i="5"/>
  <c r="M73" i="5" s="1"/>
  <c r="K70" i="2"/>
  <c r="J70" i="2"/>
  <c r="N73" i="5"/>
  <c r="K73" i="5"/>
  <c r="I73" i="5" s="1"/>
  <c r="K75" i="1"/>
  <c r="Q75" i="1"/>
  <c r="B74" i="4" s="1"/>
  <c r="D74" i="4" s="1"/>
  <c r="Q76" i="1" l="1"/>
  <c r="B75" i="4" s="1"/>
  <c r="D75" i="4" s="1"/>
  <c r="K76" i="1"/>
  <c r="C76" i="1"/>
  <c r="AE78" i="2"/>
  <c r="AF77" i="2"/>
  <c r="AG77" i="2" s="1"/>
  <c r="P77" i="1" s="1"/>
  <c r="V72" i="5"/>
  <c r="Y72" i="5"/>
  <c r="O72" i="2"/>
  <c r="P72" i="2" s="1"/>
  <c r="I72" i="2"/>
  <c r="X71" i="5"/>
  <c r="W71" i="5"/>
  <c r="S75" i="6"/>
  <c r="O75" i="6"/>
  <c r="J74" i="5"/>
  <c r="M75" i="6"/>
  <c r="K75" i="6"/>
  <c r="D75" i="6"/>
  <c r="Q75" i="6"/>
  <c r="G74" i="2"/>
  <c r="AH74" i="2"/>
  <c r="R74" i="1" s="1"/>
  <c r="J74" i="1"/>
  <c r="B74" i="5"/>
  <c r="H74" i="5" s="1"/>
  <c r="G75" i="1"/>
  <c r="AA71" i="5"/>
  <c r="Z71" i="5"/>
  <c r="E74" i="4"/>
  <c r="F74" i="4" s="1"/>
  <c r="G74" i="4" s="1"/>
  <c r="H74" i="4" s="1"/>
  <c r="I74" i="4" s="1"/>
  <c r="C75" i="1"/>
  <c r="V73" i="5"/>
  <c r="Y73" i="5"/>
  <c r="O73" i="2"/>
  <c r="P73" i="2" s="1"/>
  <c r="I73" i="2"/>
  <c r="F71" i="5"/>
  <c r="R71" i="2"/>
  <c r="G71" i="5" s="1"/>
  <c r="Q71" i="2"/>
  <c r="E71" i="5" s="1"/>
  <c r="K71" i="2"/>
  <c r="J71" i="2"/>
  <c r="AJ74" i="2" l="1"/>
  <c r="H74" i="2"/>
  <c r="F72" i="5"/>
  <c r="Q72" i="2"/>
  <c r="E72" i="5" s="1"/>
  <c r="R72" i="2"/>
  <c r="G72" i="5" s="1"/>
  <c r="Z72" i="5"/>
  <c r="AA72" i="5"/>
  <c r="Q77" i="6"/>
  <c r="O77" i="6"/>
  <c r="K77" i="6"/>
  <c r="D77" i="6"/>
  <c r="M77" i="6"/>
  <c r="S77" i="6"/>
  <c r="J76" i="5"/>
  <c r="AH76" i="2"/>
  <c r="R76" i="1" s="1"/>
  <c r="G76" i="2"/>
  <c r="J76" i="1"/>
  <c r="B76" i="5"/>
  <c r="H76" i="5" s="1"/>
  <c r="K73" i="2"/>
  <c r="J73" i="2"/>
  <c r="Z73" i="5"/>
  <c r="AA73" i="5"/>
  <c r="K76" i="6"/>
  <c r="D76" i="6"/>
  <c r="Q76" i="6"/>
  <c r="O76" i="6"/>
  <c r="M76" i="6"/>
  <c r="S76" i="6"/>
  <c r="J75" i="5"/>
  <c r="AH75" i="2"/>
  <c r="R75" i="1" s="1"/>
  <c r="J75" i="1"/>
  <c r="G75" i="2"/>
  <c r="B75" i="5"/>
  <c r="H75" i="5" s="1"/>
  <c r="Q77" i="1"/>
  <c r="B76" i="4" s="1"/>
  <c r="D76" i="4" s="1"/>
  <c r="K77" i="1"/>
  <c r="I74" i="5"/>
  <c r="M76" i="1"/>
  <c r="N76" i="1" s="1"/>
  <c r="G76" i="1"/>
  <c r="W75" i="6"/>
  <c r="AI75" i="6"/>
  <c r="AC75" i="6"/>
  <c r="X75" i="6"/>
  <c r="AG75" i="6"/>
  <c r="AE75" i="6"/>
  <c r="L74" i="5"/>
  <c r="M74" i="5" s="1"/>
  <c r="N74" i="5"/>
  <c r="K74" i="5"/>
  <c r="R73" i="2"/>
  <c r="G73" i="5" s="1"/>
  <c r="Q73" i="2"/>
  <c r="E73" i="5" s="1"/>
  <c r="F73" i="5"/>
  <c r="W73" i="5"/>
  <c r="X73" i="5"/>
  <c r="K72" i="2"/>
  <c r="J72" i="2"/>
  <c r="W72" i="5"/>
  <c r="X72" i="5"/>
  <c r="AE79" i="2"/>
  <c r="AF78" i="2"/>
  <c r="AG78" i="2" s="1"/>
  <c r="P78" i="1" s="1"/>
  <c r="M75" i="1"/>
  <c r="N75" i="1" s="1"/>
  <c r="E75" i="4"/>
  <c r="F75" i="4" s="1"/>
  <c r="G75" i="4" s="1"/>
  <c r="H75" i="4" s="1"/>
  <c r="I75" i="4" s="1"/>
  <c r="L75" i="5" l="1"/>
  <c r="M75" i="5" s="1"/>
  <c r="AI76" i="6"/>
  <c r="AG76" i="6"/>
  <c r="X76" i="6"/>
  <c r="W76" i="6"/>
  <c r="AE76" i="6"/>
  <c r="AC76" i="6"/>
  <c r="Q78" i="1"/>
  <c r="B77" i="4" s="1"/>
  <c r="D77" i="4" s="1"/>
  <c r="K78" i="1"/>
  <c r="C78" i="1"/>
  <c r="C77" i="1"/>
  <c r="AJ76" i="2"/>
  <c r="H76" i="2"/>
  <c r="AJ75" i="2"/>
  <c r="H75" i="2"/>
  <c r="E76" i="4"/>
  <c r="F76" i="4" s="1"/>
  <c r="G76" i="4" s="1"/>
  <c r="H76" i="4" s="1"/>
  <c r="I76" i="4" s="1"/>
  <c r="AF79" i="2"/>
  <c r="AG79" i="2" s="1"/>
  <c r="P79" i="1" s="1"/>
  <c r="AE80" i="2"/>
  <c r="G77" i="1"/>
  <c r="K75" i="5"/>
  <c r="I75" i="5" s="1"/>
  <c r="N75" i="5"/>
  <c r="Y74" i="5"/>
  <c r="V74" i="5"/>
  <c r="I74" i="2"/>
  <c r="O74" i="2"/>
  <c r="P74" i="2" s="1"/>
  <c r="W77" i="6"/>
  <c r="AE77" i="6"/>
  <c r="AC77" i="6"/>
  <c r="AG77" i="6"/>
  <c r="L76" i="5"/>
  <c r="M76" i="5" s="1"/>
  <c r="AI77" i="6"/>
  <c r="X77" i="6"/>
  <c r="N76" i="5"/>
  <c r="K76" i="5"/>
  <c r="I76" i="5" s="1"/>
  <c r="Q79" i="1" l="1"/>
  <c r="B78" i="4" s="1"/>
  <c r="D78" i="4" s="1"/>
  <c r="K79" i="1"/>
  <c r="Y75" i="5"/>
  <c r="V75" i="5"/>
  <c r="O75" i="2"/>
  <c r="P75" i="2" s="1"/>
  <c r="I75" i="2"/>
  <c r="M78" i="6"/>
  <c r="K78" i="6"/>
  <c r="S78" i="6"/>
  <c r="D78" i="6"/>
  <c r="O78" i="6"/>
  <c r="Q78" i="6"/>
  <c r="J77" i="5"/>
  <c r="AH77" i="2"/>
  <c r="R77" i="1" s="1"/>
  <c r="G77" i="2"/>
  <c r="J77" i="1"/>
  <c r="B77" i="5"/>
  <c r="H77" i="5" s="1"/>
  <c r="F74" i="5"/>
  <c r="Q74" i="2"/>
  <c r="E74" i="5" s="1"/>
  <c r="R74" i="2"/>
  <c r="G74" i="5" s="1"/>
  <c r="X74" i="5"/>
  <c r="W74" i="5"/>
  <c r="AE81" i="2"/>
  <c r="AF80" i="2"/>
  <c r="AG80" i="2" s="1"/>
  <c r="P80" i="1" s="1"/>
  <c r="V76" i="5"/>
  <c r="Y76" i="5"/>
  <c r="I76" i="2"/>
  <c r="O76" i="2"/>
  <c r="P76" i="2" s="1"/>
  <c r="E77" i="4"/>
  <c r="F77" i="4" s="1"/>
  <c r="G77" i="4" s="1"/>
  <c r="H77" i="4" s="1"/>
  <c r="I77" i="4" s="1"/>
  <c r="M77" i="1"/>
  <c r="N77" i="1" s="1"/>
  <c r="D79" i="6"/>
  <c r="S79" i="6"/>
  <c r="Q79" i="6"/>
  <c r="O79" i="6"/>
  <c r="M79" i="6"/>
  <c r="J78" i="5"/>
  <c r="K79" i="6"/>
  <c r="G78" i="2"/>
  <c r="AH78" i="2"/>
  <c r="R78" i="1" s="1"/>
  <c r="J78" i="1"/>
  <c r="B78" i="5"/>
  <c r="H78" i="5" s="1"/>
  <c r="M78" i="1"/>
  <c r="N78" i="1" s="1"/>
  <c r="G78" i="1"/>
  <c r="K74" i="2"/>
  <c r="J74" i="2"/>
  <c r="Z74" i="5"/>
  <c r="AA74" i="5"/>
  <c r="N78" i="5" l="1"/>
  <c r="K78" i="5"/>
  <c r="AJ77" i="2"/>
  <c r="H77" i="2"/>
  <c r="X76" i="5"/>
  <c r="W76" i="5"/>
  <c r="K77" i="5"/>
  <c r="N77" i="5"/>
  <c r="AJ78" i="2"/>
  <c r="H78" i="2"/>
  <c r="I77" i="5"/>
  <c r="Q76" i="2"/>
  <c r="E76" i="5" s="1"/>
  <c r="F76" i="5"/>
  <c r="R76" i="2"/>
  <c r="G76" i="5" s="1"/>
  <c r="K75" i="2"/>
  <c r="J75" i="2"/>
  <c r="F75" i="5"/>
  <c r="R75" i="2"/>
  <c r="G75" i="5" s="1"/>
  <c r="Q75" i="2"/>
  <c r="E75" i="5" s="1"/>
  <c r="AA75" i="5"/>
  <c r="Z75" i="5"/>
  <c r="K76" i="2"/>
  <c r="J76" i="2"/>
  <c r="AA76" i="5"/>
  <c r="Z76" i="5"/>
  <c r="X75" i="5"/>
  <c r="W75" i="5"/>
  <c r="AF81" i="2"/>
  <c r="AG81" i="2" s="1"/>
  <c r="P81" i="1" s="1"/>
  <c r="AE82" i="2"/>
  <c r="AF82" i="2" s="1"/>
  <c r="AG82" i="2" s="1"/>
  <c r="P82" i="1" s="1"/>
  <c r="C79" i="1"/>
  <c r="K80" i="1"/>
  <c r="Q80" i="1"/>
  <c r="B79" i="4" s="1"/>
  <c r="D79" i="4" s="1"/>
  <c r="I78" i="5"/>
  <c r="M79" i="1"/>
  <c r="N79" i="1" s="1"/>
  <c r="G79" i="1"/>
  <c r="AE78" i="6"/>
  <c r="AI78" i="6"/>
  <c r="AG78" i="6"/>
  <c r="AC78" i="6"/>
  <c r="W78" i="6"/>
  <c r="L77" i="5"/>
  <c r="M77" i="5" s="1"/>
  <c r="X78" i="6"/>
  <c r="X79" i="6"/>
  <c r="W79" i="6"/>
  <c r="AI79" i="6"/>
  <c r="AG79" i="6"/>
  <c r="AE79" i="6"/>
  <c r="L78" i="5"/>
  <c r="M78" i="5" s="1"/>
  <c r="AC79" i="6"/>
  <c r="E78" i="4"/>
  <c r="F78" i="4"/>
  <c r="G78" i="4" s="1"/>
  <c r="H78" i="4" s="1"/>
  <c r="I78" i="4" s="1"/>
  <c r="C80" i="1" l="1"/>
  <c r="D81" i="6"/>
  <c r="S81" i="6"/>
  <c r="M81" i="6"/>
  <c r="K81" i="6"/>
  <c r="Q81" i="6"/>
  <c r="O81" i="6"/>
  <c r="J80" i="5"/>
  <c r="AH80" i="2"/>
  <c r="R80" i="1" s="1"/>
  <c r="J80" i="1"/>
  <c r="G80" i="2"/>
  <c r="B80" i="5"/>
  <c r="H80" i="5" s="1"/>
  <c r="E79" i="4"/>
  <c r="F79" i="4" s="1"/>
  <c r="G79" i="4" s="1"/>
  <c r="H79" i="4" s="1"/>
  <c r="I79" i="4" s="1"/>
  <c r="M80" i="1"/>
  <c r="N80" i="1" s="1"/>
  <c r="G80" i="1"/>
  <c r="O80" i="6"/>
  <c r="M80" i="6"/>
  <c r="J79" i="5"/>
  <c r="S80" i="6"/>
  <c r="Q80" i="6"/>
  <c r="K80" i="6"/>
  <c r="D80" i="6"/>
  <c r="G79" i="2"/>
  <c r="AH79" i="2"/>
  <c r="R79" i="1" s="1"/>
  <c r="J79" i="1"/>
  <c r="B79" i="5"/>
  <c r="H79" i="5" s="1"/>
  <c r="K82" i="1"/>
  <c r="Q82" i="1"/>
  <c r="B81" i="4" s="1"/>
  <c r="D81" i="4" s="1"/>
  <c r="Q81" i="1"/>
  <c r="B80" i="4" s="1"/>
  <c r="D80" i="4" s="1"/>
  <c r="K81" i="1"/>
  <c r="Y77" i="5"/>
  <c r="V77" i="5"/>
  <c r="O77" i="2"/>
  <c r="P77" i="2" s="1"/>
  <c r="I77" i="2"/>
  <c r="V78" i="5"/>
  <c r="O78" i="2"/>
  <c r="P78" i="2" s="1"/>
  <c r="Y78" i="5"/>
  <c r="I78" i="2"/>
  <c r="X78" i="5" l="1"/>
  <c r="W78" i="5"/>
  <c r="K78" i="2"/>
  <c r="J78" i="2"/>
  <c r="N79" i="5"/>
  <c r="K79" i="5"/>
  <c r="F77" i="5"/>
  <c r="R77" i="2"/>
  <c r="G77" i="5" s="1"/>
  <c r="Q77" i="2"/>
  <c r="E77" i="5" s="1"/>
  <c r="C81" i="1"/>
  <c r="M81" i="1" s="1"/>
  <c r="N81" i="1" s="1"/>
  <c r="AC81" i="6"/>
  <c r="L80" i="5"/>
  <c r="M80" i="5" s="1"/>
  <c r="X81" i="6"/>
  <c r="AI81" i="6"/>
  <c r="AG81" i="6"/>
  <c r="AE81" i="6"/>
  <c r="W81" i="6"/>
  <c r="K77" i="2"/>
  <c r="J77" i="2"/>
  <c r="Z77" i="5"/>
  <c r="AA77" i="5"/>
  <c r="AJ80" i="2"/>
  <c r="H80" i="2"/>
  <c r="G82" i="1"/>
  <c r="Z78" i="5"/>
  <c r="AA78" i="5"/>
  <c r="W77" i="5"/>
  <c r="X77" i="5"/>
  <c r="G81" i="1"/>
  <c r="E81" i="4"/>
  <c r="F81" i="4" s="1"/>
  <c r="G81" i="4" s="1"/>
  <c r="H81" i="4" s="1"/>
  <c r="I81" i="4" s="1"/>
  <c r="C82" i="1"/>
  <c r="I79" i="5"/>
  <c r="AI80" i="6"/>
  <c r="AE80" i="6"/>
  <c r="L79" i="5"/>
  <c r="M79" i="5" s="1"/>
  <c r="AC80" i="6"/>
  <c r="X80" i="6"/>
  <c r="W80" i="6"/>
  <c r="AG80" i="6"/>
  <c r="F78" i="5"/>
  <c r="R78" i="2"/>
  <c r="G78" i="5" s="1"/>
  <c r="Q78" i="2"/>
  <c r="E78" i="5" s="1"/>
  <c r="E80" i="4"/>
  <c r="F80" i="4" s="1"/>
  <c r="G80" i="4" s="1"/>
  <c r="H80" i="4" s="1"/>
  <c r="I80" i="4" s="1"/>
  <c r="K80" i="5"/>
  <c r="I80" i="5" s="1"/>
  <c r="N80" i="5"/>
  <c r="AJ79" i="2"/>
  <c r="H79" i="2"/>
  <c r="Y79" i="5" l="1"/>
  <c r="V79" i="5"/>
  <c r="I79" i="2"/>
  <c r="O79" i="2"/>
  <c r="P79" i="2" s="1"/>
  <c r="Q82" i="6"/>
  <c r="O82" i="6"/>
  <c r="D82" i="6"/>
  <c r="K82" i="6"/>
  <c r="S82" i="6"/>
  <c r="M82" i="6"/>
  <c r="J81" i="5"/>
  <c r="G81" i="2"/>
  <c r="AH81" i="2"/>
  <c r="R81" i="1" s="1"/>
  <c r="J81" i="1"/>
  <c r="B81" i="5"/>
  <c r="H81" i="5" s="1"/>
  <c r="V80" i="5"/>
  <c r="Y80" i="5"/>
  <c r="O80" i="2"/>
  <c r="P80" i="2" s="1"/>
  <c r="I80" i="2"/>
  <c r="Q83" i="6"/>
  <c r="M83" i="6"/>
  <c r="K83" i="6"/>
  <c r="S83" i="6"/>
  <c r="D83" i="6"/>
  <c r="O83" i="6"/>
  <c r="AH82" i="2"/>
  <c r="R82" i="1" s="1"/>
  <c r="J82" i="5"/>
  <c r="G82" i="2"/>
  <c r="J82" i="1"/>
  <c r="B82" i="5"/>
  <c r="H82" i="5" s="1"/>
  <c r="H3" i="1"/>
  <c r="M82" i="1"/>
  <c r="N82" i="1" s="1"/>
  <c r="O3" i="1" s="1"/>
  <c r="N81" i="5" l="1"/>
  <c r="K81" i="5"/>
  <c r="I81" i="5" s="1"/>
  <c r="F80" i="5"/>
  <c r="R80" i="2"/>
  <c r="G80" i="5" s="1"/>
  <c r="Q80" i="2"/>
  <c r="E80" i="5" s="1"/>
  <c r="X80" i="5"/>
  <c r="W80" i="5"/>
  <c r="AI82" i="6"/>
  <c r="W82" i="6"/>
  <c r="AG82" i="6"/>
  <c r="AE82" i="6"/>
  <c r="AC82" i="6"/>
  <c r="X82" i="6"/>
  <c r="L81" i="5"/>
  <c r="M81" i="5" s="1"/>
  <c r="AJ81" i="2"/>
  <c r="H81" i="2"/>
  <c r="K82" i="5"/>
  <c r="I82" i="5" s="1"/>
  <c r="N82" i="5"/>
  <c r="K79" i="2"/>
  <c r="J79" i="2"/>
  <c r="Z80" i="5"/>
  <c r="AA80" i="5"/>
  <c r="AJ82" i="2"/>
  <c r="H82" i="2"/>
  <c r="W79" i="5"/>
  <c r="X79" i="5"/>
  <c r="J80" i="2"/>
  <c r="K80" i="2"/>
  <c r="AG83" i="6"/>
  <c r="AE83" i="6"/>
  <c r="AC83" i="6"/>
  <c r="W83" i="6"/>
  <c r="AI83" i="6"/>
  <c r="X83" i="6"/>
  <c r="L82" i="5"/>
  <c r="M82" i="5" s="1"/>
  <c r="R79" i="2"/>
  <c r="G79" i="5" s="1"/>
  <c r="F79" i="5"/>
  <c r="Q79" i="2"/>
  <c r="E79" i="5" s="1"/>
  <c r="AA79" i="5"/>
  <c r="Z79" i="5"/>
  <c r="Y81" i="5" l="1"/>
  <c r="V81" i="5"/>
  <c r="O81" i="2"/>
  <c r="P81" i="2" s="1"/>
  <c r="I81" i="2"/>
  <c r="V82" i="5"/>
  <c r="I82" i="2"/>
  <c r="O82" i="2"/>
  <c r="P82" i="2" s="1"/>
  <c r="Y82" i="5"/>
  <c r="F82" i="5" l="1"/>
  <c r="Q82" i="2"/>
  <c r="E82" i="5" s="1"/>
  <c r="R82" i="2"/>
  <c r="G82" i="5" s="1"/>
  <c r="K81" i="2"/>
  <c r="J81" i="2"/>
  <c r="X81" i="5"/>
  <c r="W81" i="5"/>
  <c r="Z82" i="5"/>
  <c r="AA82" i="5"/>
  <c r="J82" i="2"/>
  <c r="K82" i="2"/>
  <c r="W82" i="5"/>
  <c r="X82" i="5"/>
  <c r="Q81" i="2"/>
  <c r="E81" i="5" s="1"/>
  <c r="F81" i="5"/>
  <c r="R81" i="2"/>
  <c r="G81" i="5" s="1"/>
  <c r="AA81" i="5"/>
  <c r="Z81" i="5"/>
</calcChain>
</file>

<file path=xl/sharedStrings.xml><?xml version="1.0" encoding="utf-8"?>
<sst xmlns="http://schemas.openxmlformats.org/spreadsheetml/2006/main" count="184" uniqueCount="175">
  <si>
    <t>b</t>
  </si>
  <si>
    <t>l</t>
  </si>
  <si>
    <t>d</t>
  </si>
  <si>
    <t>Q</t>
  </si>
  <si>
    <t>cos3Q</t>
  </si>
  <si>
    <t>Ecoll [%]</t>
  </si>
  <si>
    <t>Esum [%]</t>
  </si>
  <si>
    <t>p</t>
  </si>
  <si>
    <t>leff</t>
  </si>
  <si>
    <t>deff</t>
  </si>
  <si>
    <t xml:space="preserve">Rint </t>
  </si>
  <si>
    <t>Rcoll</t>
  </si>
  <si>
    <t>Rsyst</t>
  </si>
  <si>
    <t>Simulation Spatial R</t>
  </si>
  <si>
    <t>theta</t>
  </si>
  <si>
    <t>x</t>
  </si>
  <si>
    <t>k</t>
  </si>
  <si>
    <t>Ld</t>
  </si>
  <si>
    <t>Td</t>
  </si>
  <si>
    <t>t</t>
  </si>
  <si>
    <t>Definitions</t>
  </si>
  <si>
    <t>distance from center of hole to center of heart</t>
  </si>
  <si>
    <t>length of collimator</t>
  </si>
  <si>
    <t>length of sides of hole</t>
  </si>
  <si>
    <t>angle from axis</t>
  </si>
  <si>
    <t>senstivitiy of individual systems</t>
  </si>
  <si>
    <t>summation of all Ecoll</t>
  </si>
  <si>
    <t>pixel size</t>
  </si>
  <si>
    <t>effective length of collimator</t>
  </si>
  <si>
    <t>effective length of sides of hole</t>
  </si>
  <si>
    <t>intrinsic resolution of collimator</t>
  </si>
  <si>
    <t>resolution of collimator</t>
  </si>
  <si>
    <t>resolution of individual detector systems</t>
  </si>
  <si>
    <t>average of all Rsyst</t>
  </si>
  <si>
    <t>acceptance angle of collimator</t>
  </si>
  <si>
    <t>focal length of collimator minus length of collimator</t>
  </si>
  <si>
    <t>length of side of guide at exit</t>
  </si>
  <si>
    <t>length of side of detector crystal</t>
  </si>
  <si>
    <t>thickness of detector crystal</t>
  </si>
  <si>
    <t>thickness of collimator wall</t>
  </si>
  <si>
    <t>x1</t>
  </si>
  <si>
    <t>y1</t>
  </si>
  <si>
    <t>z1</t>
  </si>
  <si>
    <t>S</t>
  </si>
  <si>
    <t>l + b+Td</t>
  </si>
  <si>
    <t>x2</t>
  </si>
  <si>
    <t>y2</t>
  </si>
  <si>
    <t>z2</t>
  </si>
  <si>
    <t>(l + b+Td)/2</t>
  </si>
  <si>
    <t>xm</t>
  </si>
  <si>
    <t>ym</t>
  </si>
  <si>
    <t>zm</t>
  </si>
  <si>
    <t>FR calc</t>
  </si>
  <si>
    <t>ϕ1</t>
  </si>
  <si>
    <t>SR calc</t>
  </si>
  <si>
    <t>ϕ2</t>
  </si>
  <si>
    <t>x coordinate value at center of hole</t>
  </si>
  <si>
    <t>y coordinate value at center of hole</t>
  </si>
  <si>
    <t>z coordinate value at center of hole</t>
  </si>
  <si>
    <t>3D slope</t>
  </si>
  <si>
    <t>x coordinate value at end of detector</t>
  </si>
  <si>
    <t>y coordinate value at end of detector</t>
  </si>
  <si>
    <t>z coordinate value at end of detector</t>
  </si>
  <si>
    <t>x coordinate value at center point of system</t>
  </si>
  <si>
    <t>y coordinate value at center point of system</t>
  </si>
  <si>
    <t>z coordinate value at center point of system</t>
  </si>
  <si>
    <t>Calculator for first rotation</t>
  </si>
  <si>
    <t>Rotation around  z axis of GATE geometry</t>
  </si>
  <si>
    <t>Calculator for second rotation</t>
  </si>
  <si>
    <t>Rotation around  x axis of GATE geometry</t>
  </si>
  <si>
    <t>pinhole range</t>
  </si>
  <si>
    <t>pinhole azimuth (radians)</t>
  </si>
  <si>
    <t>pinhole elevation (radians)</t>
  </si>
  <si>
    <t>pinhole outer edge range</t>
  </si>
  <si>
    <t>pinhole outer edge height</t>
  </si>
  <si>
    <t>pinhole outer edge elevation (radians)</t>
  </si>
  <si>
    <t>pinhole outer edge radius</t>
  </si>
  <si>
    <t>RoI radius</t>
  </si>
  <si>
    <t>pinhole outer edge angle (radians)</t>
  </si>
  <si>
    <t>theta (degrees)</t>
  </si>
  <si>
    <t>exit angle (degrees)</t>
  </si>
  <si>
    <t>Crystal Pitch</t>
  </si>
  <si>
    <t>Value filled in from CAD</t>
  </si>
  <si>
    <t>z</t>
  </si>
  <si>
    <t>New/revised calculation</t>
  </si>
  <si>
    <t>Solidwork Export</t>
  </si>
  <si>
    <t>Point #</t>
  </si>
  <si>
    <t>Point ID</t>
  </si>
  <si>
    <t>X</t>
  </si>
  <si>
    <t>Y</t>
  </si>
  <si>
    <t>Z</t>
  </si>
  <si>
    <t>ROI</t>
  </si>
  <si>
    <t>mm</t>
  </si>
  <si>
    <t>Pinhole</t>
  </si>
  <si>
    <t>Ellipse factor</t>
  </si>
  <si>
    <t>%</t>
  </si>
  <si>
    <t>Opening</t>
  </si>
  <si>
    <t>cm</t>
  </si>
  <si>
    <t>Angle</t>
  </si>
  <si>
    <t>degrees</t>
  </si>
  <si>
    <t>xd1</t>
  </si>
  <si>
    <t>yd1</t>
  </si>
  <si>
    <t>dslope1</t>
  </si>
  <si>
    <t>xd2</t>
  </si>
  <si>
    <t>yd2</t>
  </si>
  <si>
    <t>tcalc1</t>
  </si>
  <si>
    <t>tcalc2</t>
  </si>
  <si>
    <t>tcalc3</t>
  </si>
  <si>
    <t>N.B. This sheet is no longer used to calculate theta</t>
  </si>
  <si>
    <t>Theta is calculated purely based on pinhole location and ROI radius</t>
  </si>
  <si>
    <t>MAC Position</t>
  </si>
  <si>
    <t>Descriptions</t>
  </si>
  <si>
    <t>Total length</t>
  </si>
  <si>
    <t>First rotation</t>
  </si>
  <si>
    <t>Second rotation</t>
  </si>
  <si>
    <t>Translation x</t>
  </si>
  <si>
    <t>Translation y</t>
  </si>
  <si>
    <t>Translation z</t>
  </si>
  <si>
    <t>Pixel translation</t>
  </si>
  <si>
    <t>Collimator translation</t>
  </si>
  <si>
    <t>Collimator length</t>
  </si>
  <si>
    <t>Collimator plus guide length</t>
  </si>
  <si>
    <t>Guide exit edge length (air)</t>
  </si>
  <si>
    <t>Guide exit edge length (lead)</t>
  </si>
  <si>
    <t>Guide translation</t>
  </si>
  <si>
    <t>d + 2t</t>
  </si>
  <si>
    <t>Ld + 2t</t>
  </si>
  <si>
    <t>Repeat vector</t>
  </si>
  <si>
    <t>Pixel size</t>
  </si>
  <si>
    <t>Crystal thickness</t>
  </si>
  <si>
    <t>Crystal back face x</t>
  </si>
  <si>
    <t>Crystal back face y</t>
  </si>
  <si>
    <t>Crystal back face z</t>
  </si>
  <si>
    <t>Crystal centroid x</t>
  </si>
  <si>
    <t>Crystal centroid y</t>
  </si>
  <si>
    <t>Crystal centroid z</t>
  </si>
  <si>
    <t>D1@Sketch1</t>
  </si>
  <si>
    <t>D2@Sketch1</t>
  </si>
  <si>
    <t>D1@Boss-Extrude1</t>
  </si>
  <si>
    <t>D1@Sketch2</t>
  </si>
  <si>
    <t>D2@Sketch2</t>
  </si>
  <si>
    <t>D1@Sketch3</t>
  </si>
  <si>
    <t>D2@Sketch3</t>
  </si>
  <si>
    <t>D1@Sketch4</t>
  </si>
  <si>
    <t>D2@Sketch4</t>
  </si>
  <si>
    <t>D1@Cut-Extrude3</t>
  </si>
  <si>
    <t>D1@Chamfer1</t>
  </si>
  <si>
    <t>D3@Chamfer1</t>
  </si>
  <si>
    <t>D1@Chamfer2</t>
  </si>
  <si>
    <t>D3@Chamfer2</t>
  </si>
  <si>
    <t>D1@Chamfer3</t>
  </si>
  <si>
    <t>D3@Chamfer3</t>
  </si>
  <si>
    <t>D1@Chamfer4</t>
  </si>
  <si>
    <t>D3@Chamfer4</t>
  </si>
  <si>
    <t>D1@Sketch5</t>
  </si>
  <si>
    <t>D2@Sketch5</t>
  </si>
  <si>
    <t>D1@Boss-Extrude2</t>
  </si>
  <si>
    <t>D1@Sketch6</t>
  </si>
  <si>
    <t>D2@Sketch6</t>
  </si>
  <si>
    <t>D1@Boss-Extrude3</t>
  </si>
  <si>
    <t>D1@Sketch9</t>
  </si>
  <si>
    <t>D2@Sketch9</t>
  </si>
  <si>
    <t>D1@Cut-Extrude6</t>
  </si>
  <si>
    <t>D1@Chamfer5</t>
  </si>
  <si>
    <t>D3@Chamfer5</t>
  </si>
  <si>
    <t>D1@Chamfer6</t>
  </si>
  <si>
    <t>D3@Chamfer6</t>
  </si>
  <si>
    <t>D1@Chamfer7</t>
  </si>
  <si>
    <t>D3@Chamfer7</t>
  </si>
  <si>
    <t>D1@Chamfer8</t>
  </si>
  <si>
    <t>D3@Chamfer8</t>
  </si>
  <si>
    <t>Default</t>
  </si>
  <si>
    <t>x coordinate value at exposed face of scintillator</t>
  </si>
  <si>
    <t>y coordinate value at exposed face of scintillator</t>
  </si>
  <si>
    <t>z coordinate value at exposed face of scintillator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</si>
</sst>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47">
    <xf numFmtId="0" fontId="0" fillId="0" borderId="0" xfId="0"/>
    <xf numFmtId="0" fontId="0" fillId="0" borderId="0" xfId="0" applyNumberFormat="1"/>
    <xf numFmtId="0" fontId="0" fillId="2" borderId="1" xfId="0" applyNumberFormat="1" applyFill="1" applyBorder="1"/>
    <xf numFmtId="49" fontId="0" fillId="2" borderId="2" xfId="0" applyNumberFormat="1" applyFill="1" applyBorder="1"/>
    <xf numFmtId="49" fontId="0" fillId="2" borderId="2" xfId="0" applyNumberFormat="1" applyFill="1" applyBorder="1" applyAlignment="1">
      <alignment wrapText="1"/>
    </xf>
    <xf numFmtId="0" fontId="0" fillId="2" borderId="2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49" fontId="0" fillId="2" borderId="4" xfId="0" applyNumberFormat="1" applyFill="1" applyBorder="1"/>
    <xf numFmtId="49" fontId="0" fillId="2" borderId="5" xfId="0" applyNumberFormat="1" applyFill="1" applyBorder="1" applyAlignment="1">
      <alignment wrapText="1"/>
    </xf>
    <xf numFmtId="0" fontId="0" fillId="2" borderId="5" xfId="0" applyNumberFormat="1" applyFill="1" applyBorder="1" applyAlignment="1">
      <alignment wrapText="1"/>
    </xf>
    <xf numFmtId="0" fontId="0" fillId="3" borderId="5" xfId="0" applyNumberFormat="1" applyFill="1" applyBorder="1"/>
    <xf numFmtId="0" fontId="0" fillId="3" borderId="6" xfId="0" applyNumberFormat="1" applyFill="1" applyBorder="1"/>
    <xf numFmtId="0" fontId="0" fillId="2" borderId="4" xfId="0" applyNumberFormat="1" applyFill="1" applyBorder="1"/>
    <xf numFmtId="0" fontId="0" fillId="4" borderId="5" xfId="0" applyNumberFormat="1" applyFill="1" applyBorder="1"/>
    <xf numFmtId="0" fontId="0" fillId="5" borderId="5" xfId="0" applyNumberFormat="1" applyFill="1" applyBorder="1"/>
    <xf numFmtId="0" fontId="0" fillId="3" borderId="7" xfId="0" applyNumberFormat="1" applyFill="1" applyBorder="1"/>
    <xf numFmtId="0" fontId="0" fillId="3" borderId="8" xfId="0" applyNumberFormat="1" applyFill="1" applyBorder="1"/>
    <xf numFmtId="0" fontId="0" fillId="3" borderId="9" xfId="0" applyNumberFormat="1" applyFill="1" applyBorder="1"/>
    <xf numFmtId="0" fontId="0" fillId="3" borderId="1" xfId="0" applyNumberFormat="1" applyFill="1" applyBorder="1"/>
    <xf numFmtId="0" fontId="0" fillId="3" borderId="4" xfId="0" applyNumberFormat="1" applyFill="1" applyBorder="1"/>
    <xf numFmtId="0" fontId="0" fillId="3" borderId="10" xfId="0" applyNumberFormat="1" applyFill="1" applyBorder="1"/>
    <xf numFmtId="0" fontId="0" fillId="3" borderId="11" xfId="0" applyNumberFormat="1" applyFill="1" applyBorder="1"/>
    <xf numFmtId="49" fontId="0" fillId="2" borderId="4" xfId="0" applyNumberFormat="1" applyFill="1" applyBorder="1" applyAlignment="1">
      <alignment wrapText="1"/>
    </xf>
    <xf numFmtId="49" fontId="0" fillId="3" borderId="10" xfId="0" applyNumberFormat="1" applyFill="1" applyBorder="1" applyAlignment="1">
      <alignment wrapText="1"/>
    </xf>
    <xf numFmtId="0" fontId="0" fillId="3" borderId="12" xfId="0" applyNumberFormat="1" applyFill="1" applyBorder="1"/>
    <xf numFmtId="0" fontId="0" fillId="3" borderId="13" xfId="0" applyNumberFormat="1" applyFill="1" applyBorder="1"/>
    <xf numFmtId="49" fontId="0" fillId="6" borderId="5" xfId="0" applyNumberFormat="1" applyFill="1" applyBorder="1"/>
    <xf numFmtId="49" fontId="0" fillId="3" borderId="11" xfId="0" applyNumberFormat="1" applyFill="1" applyBorder="1"/>
    <xf numFmtId="49" fontId="0" fillId="7" borderId="5" xfId="0" applyNumberFormat="1" applyFill="1" applyBorder="1"/>
    <xf numFmtId="0" fontId="0" fillId="3" borderId="14" xfId="0" applyNumberFormat="1" applyFill="1" applyBorder="1"/>
    <xf numFmtId="0" fontId="0" fillId="8" borderId="4" xfId="0" applyNumberFormat="1" applyFill="1" applyBorder="1"/>
    <xf numFmtId="0" fontId="0" fillId="7" borderId="5" xfId="0" applyNumberFormat="1" applyFill="1" applyBorder="1"/>
    <xf numFmtId="0" fontId="0" fillId="3" borderId="15" xfId="0" applyNumberFormat="1" applyFill="1" applyBorder="1"/>
    <xf numFmtId="49" fontId="0" fillId="3" borderId="12" xfId="0" applyNumberFormat="1" applyFill="1" applyBorder="1"/>
    <xf numFmtId="49" fontId="0" fillId="3" borderId="15" xfId="0" applyNumberFormat="1" applyFill="1" applyBorder="1"/>
    <xf numFmtId="0" fontId="0" fillId="6" borderId="5" xfId="0" applyNumberFormat="1" applyFill="1" applyBorder="1"/>
    <xf numFmtId="49" fontId="0" fillId="3" borderId="10" xfId="0" applyNumberFormat="1" applyFill="1" applyBorder="1"/>
    <xf numFmtId="2" fontId="0" fillId="6" borderId="5" xfId="0" applyNumberFormat="1" applyFill="1" applyBorder="1"/>
    <xf numFmtId="0" fontId="0" fillId="3" borderId="16" xfId="0" applyNumberFormat="1" applyFill="1" applyBorder="1"/>
    <xf numFmtId="164" fontId="0" fillId="6" borderId="5" xfId="0" applyNumberFormat="1" applyFill="1" applyBorder="1"/>
    <xf numFmtId="11" fontId="0" fillId="3" borderId="11" xfId="0" applyNumberFormat="1" applyFill="1" applyBorder="1"/>
    <xf numFmtId="0" fontId="0" fillId="2" borderId="7" xfId="0" applyNumberFormat="1" applyFill="1" applyBorder="1"/>
    <xf numFmtId="0" fontId="0" fillId="6" borderId="8" xfId="0" applyNumberFormat="1" applyFill="1" applyBorder="1"/>
    <xf numFmtId="49" fontId="0" fillId="2" borderId="1" xfId="0" applyNumberFormat="1" applyFill="1" applyBorder="1"/>
    <xf numFmtId="0" fontId="0" fillId="2" borderId="3" xfId="0" applyNumberFormat="1" applyFill="1" applyBorder="1"/>
    <xf numFmtId="49" fontId="0" fillId="2" borderId="6" xfId="0" applyNumberForma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8CCE4"/>
      <rgbColor rgb="FFAAAAAA"/>
      <rgbColor rgb="FFFFFFFF"/>
      <rgbColor rgb="FFEAF1DD"/>
      <rgbColor rgb="FF92D050"/>
      <rgbColor rgb="FFFFC000"/>
      <rgbColor rgb="FFD6E3BC"/>
      <rgbColor rgb="FFDAEEF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390526</xdr:colOff>
      <xdr:row>1</xdr:row>
      <xdr:rowOff>187434</xdr:rowOff>
    </xdr:from>
    <xdr:to>
      <xdr:col>37</xdr:col>
      <xdr:colOff>276225</xdr:colOff>
      <xdr:row>17</xdr:row>
      <xdr:rowOff>150929</xdr:rowOff>
    </xdr:to>
    <xdr:pic>
      <xdr:nvPicPr>
        <xdr:cNvPr id="2" name="image1.png" descr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96526" y="568434"/>
          <a:ext cx="5270499" cy="392589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25</xdr:col>
      <xdr:colOff>340994</xdr:colOff>
      <xdr:row>3</xdr:row>
      <xdr:rowOff>26670</xdr:rowOff>
    </xdr:from>
    <xdr:to>
      <xdr:col>30</xdr:col>
      <xdr:colOff>163608</xdr:colOff>
      <xdr:row>10</xdr:row>
      <xdr:rowOff>161413</xdr:rowOff>
    </xdr:to>
    <xdr:pic>
      <xdr:nvPicPr>
        <xdr:cNvPr id="3" name="image2.png" descr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4594" y="1703070"/>
          <a:ext cx="3188115" cy="1468244"/>
        </a:xfrm>
        <a:prstGeom prst="rect">
          <a:avLst/>
        </a:prstGeom>
        <a:ln w="3175" cap="flat">
          <a:solidFill>
            <a:srgbClr val="000000"/>
          </a:solidFill>
          <a:prstDash val="solid"/>
          <a:miter lim="800000"/>
        </a:ln>
        <a:effectLst/>
      </xdr:spPr>
    </xdr:pic>
    <xdr:clientData/>
  </xdr:twoCellAnchor>
  <xdr:twoCellAnchor>
    <xdr:from>
      <xdr:col>26</xdr:col>
      <xdr:colOff>255269</xdr:colOff>
      <xdr:row>13</xdr:row>
      <xdr:rowOff>161925</xdr:rowOff>
    </xdr:from>
    <xdr:to>
      <xdr:col>31</xdr:col>
      <xdr:colOff>84867</xdr:colOff>
      <xdr:row>15</xdr:row>
      <xdr:rowOff>86471</xdr:rowOff>
    </xdr:to>
    <xdr:pic>
      <xdr:nvPicPr>
        <xdr:cNvPr id="4" name="image3.png" descr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41969" y="3743325"/>
          <a:ext cx="3195099" cy="305547"/>
        </a:xfrm>
        <a:prstGeom prst="rect">
          <a:avLst/>
        </a:prstGeom>
        <a:ln w="3175" cap="flat">
          <a:solidFill>
            <a:srgbClr val="376092"/>
          </a:solidFill>
          <a:prstDash val="solid"/>
          <a:miter lim="800000"/>
        </a:ln>
        <a:effectLst/>
      </xdr:spPr>
    </xdr:pic>
    <xdr:clientData/>
  </xdr:twoCellAnchor>
  <xdr:twoCellAnchor>
    <xdr:from>
      <xdr:col>31</xdr:col>
      <xdr:colOff>85725</xdr:colOff>
      <xdr:row>18</xdr:row>
      <xdr:rowOff>102870</xdr:rowOff>
    </xdr:from>
    <xdr:to>
      <xdr:col>35</xdr:col>
      <xdr:colOff>285064</xdr:colOff>
      <xdr:row>28</xdr:row>
      <xdr:rowOff>18596</xdr:rowOff>
    </xdr:to>
    <xdr:pic>
      <xdr:nvPicPr>
        <xdr:cNvPr id="5" name="image4.png" descr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37925" y="4636770"/>
          <a:ext cx="2891740" cy="18207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26</xdr:col>
      <xdr:colOff>133350</xdr:colOff>
      <xdr:row>18</xdr:row>
      <xdr:rowOff>140970</xdr:rowOff>
    </xdr:from>
    <xdr:to>
      <xdr:col>31</xdr:col>
      <xdr:colOff>1683</xdr:colOff>
      <xdr:row>29</xdr:row>
      <xdr:rowOff>160366</xdr:rowOff>
    </xdr:to>
    <xdr:pic>
      <xdr:nvPicPr>
        <xdr:cNvPr id="6" name="image5.png" descr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20050" y="4674870"/>
          <a:ext cx="3233834" cy="2114897"/>
        </a:xfrm>
        <a:prstGeom prst="rect">
          <a:avLst/>
        </a:prstGeom>
        <a:ln w="3175" cap="flat">
          <a:solidFill>
            <a:srgbClr val="000000"/>
          </a:solidFill>
          <a:prstDash val="solid"/>
          <a:miter lim="800000"/>
        </a:ln>
        <a:effectLst/>
      </xdr:spPr>
    </xdr:pic>
    <xdr:clientData/>
  </xdr:twoCellAnchor>
  <xdr:twoCellAnchor>
    <xdr:from>
      <xdr:col>26</xdr:col>
      <xdr:colOff>45719</xdr:colOff>
      <xdr:row>32</xdr:row>
      <xdr:rowOff>131443</xdr:rowOff>
    </xdr:from>
    <xdr:to>
      <xdr:col>30</xdr:col>
      <xdr:colOff>560069</xdr:colOff>
      <xdr:row>34</xdr:row>
      <xdr:rowOff>47942</xdr:rowOff>
    </xdr:to>
    <xdr:pic>
      <xdr:nvPicPr>
        <xdr:cNvPr id="7" name="image6.png" descr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2419" y="7332343"/>
          <a:ext cx="3206751" cy="297500"/>
        </a:xfrm>
        <a:prstGeom prst="rect">
          <a:avLst/>
        </a:prstGeom>
        <a:ln w="3175" cap="flat">
          <a:solidFill>
            <a:srgbClr val="953735"/>
          </a:solidFill>
          <a:prstDash val="solid"/>
          <a:miter lim="800000"/>
        </a:ln>
        <a:effectLst/>
      </xdr:spPr>
    </xdr:pic>
    <xdr:clientData/>
  </xdr:twoCellAnchor>
  <xdr:twoCellAnchor>
    <xdr:from>
      <xdr:col>37</xdr:col>
      <xdr:colOff>133350</xdr:colOff>
      <xdr:row>17</xdr:row>
      <xdr:rowOff>123825</xdr:rowOff>
    </xdr:from>
    <xdr:to>
      <xdr:col>54</xdr:col>
      <xdr:colOff>58542</xdr:colOff>
      <xdr:row>48</xdr:row>
      <xdr:rowOff>57963</xdr:rowOff>
    </xdr:to>
    <xdr:pic>
      <xdr:nvPicPr>
        <xdr:cNvPr id="8" name="image7.png" descr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24150" y="4467225"/>
          <a:ext cx="11367893" cy="583963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37</xdr:col>
      <xdr:colOff>123825</xdr:colOff>
      <xdr:row>1</xdr:row>
      <xdr:rowOff>161925</xdr:rowOff>
    </xdr:from>
    <xdr:to>
      <xdr:col>52</xdr:col>
      <xdr:colOff>10743</xdr:colOff>
      <xdr:row>16</xdr:row>
      <xdr:rowOff>152925</xdr:rowOff>
    </xdr:to>
    <xdr:pic>
      <xdr:nvPicPr>
        <xdr:cNvPr id="9" name="image8.png" descr="Pictur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14625" y="542925"/>
          <a:ext cx="9983419" cy="37629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37</xdr:col>
      <xdr:colOff>0</xdr:colOff>
      <xdr:row>50</xdr:row>
      <xdr:rowOff>0</xdr:rowOff>
    </xdr:from>
    <xdr:to>
      <xdr:col>52</xdr:col>
      <xdr:colOff>506133</xdr:colOff>
      <xdr:row>81</xdr:row>
      <xdr:rowOff>124665</xdr:rowOff>
    </xdr:to>
    <xdr:pic>
      <xdr:nvPicPr>
        <xdr:cNvPr id="10" name="image9.png" descr="Pictur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990800" y="10629900"/>
          <a:ext cx="10602634" cy="6030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7"/>
  <sheetViews>
    <sheetView showGridLines="0" topLeftCell="H1" workbookViewId="0"/>
  </sheetViews>
  <sheetFormatPr defaultColWidth="8.796875" defaultRowHeight="15" customHeight="1" x14ac:dyDescent="0.45"/>
  <cols>
    <col min="1" max="1" width="10.86328125" style="1" customWidth="1"/>
    <col min="2" max="2" width="11.6640625" style="1" customWidth="1"/>
    <col min="3" max="3" width="12" style="1" customWidth="1"/>
    <col min="4" max="4" width="7.46484375" style="1" customWidth="1"/>
    <col min="5" max="6" width="8.86328125" style="1" customWidth="1"/>
    <col min="7" max="7" width="11.6640625" style="1" customWidth="1"/>
    <col min="8" max="8" width="12" style="1" customWidth="1"/>
    <col min="9" max="9" width="8.86328125" style="1" customWidth="1"/>
    <col min="10" max="11" width="11.6640625" style="1" customWidth="1"/>
    <col min="12" max="13" width="10.19921875" style="1" customWidth="1"/>
    <col min="14" max="15" width="12" style="1" customWidth="1"/>
    <col min="16" max="17" width="11.6640625" style="1" customWidth="1"/>
    <col min="18" max="18" width="12" style="1" customWidth="1"/>
    <col min="19" max="19" width="8.46484375" style="1" customWidth="1"/>
    <col min="20" max="20" width="9.33203125" style="1" customWidth="1"/>
    <col min="21" max="25" width="9.6640625" style="1" customWidth="1"/>
    <col min="26" max="256" width="8.86328125" style="1" customWidth="1"/>
  </cols>
  <sheetData>
    <row r="1" spans="1:55" ht="30" customHeight="1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5"/>
      <c r="W1" s="5"/>
      <c r="X1" s="5"/>
      <c r="Y1" s="5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7"/>
    </row>
    <row r="2" spans="1:55" ht="87" customHeight="1" x14ac:dyDescent="0.45">
      <c r="A2" s="8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10"/>
      <c r="G2" s="9" t="s">
        <v>25</v>
      </c>
      <c r="H2" s="9" t="s">
        <v>26</v>
      </c>
      <c r="I2" s="9" t="s">
        <v>27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10"/>
      <c r="W2" s="10"/>
      <c r="X2" s="10"/>
      <c r="Y2" s="10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2"/>
    </row>
    <row r="3" spans="1:55" ht="15" customHeight="1" x14ac:dyDescent="0.45">
      <c r="A3" s="13">
        <v>1</v>
      </c>
      <c r="B3" s="11">
        <f>Coordinates!E3</f>
        <v>294.25720507886905</v>
      </c>
      <c r="C3" s="14">
        <f t="shared" ref="C3:C34" si="0">((S3/2)/(TAN(RADIANS(P3))))-Q3</f>
        <v>89.070206162964965</v>
      </c>
      <c r="D3" s="14">
        <v>2.2999999999999998</v>
      </c>
      <c r="E3" s="11">
        <v>0</v>
      </c>
      <c r="F3" s="11">
        <f t="shared" ref="F3:F34" si="1">COS(E3)^3</f>
        <v>1</v>
      </c>
      <c r="G3" s="11">
        <f t="shared" ref="G3:G34" si="2">100*(K3*K3*F3/(16*B3*B3))</f>
        <v>4.1740314532016844E-4</v>
      </c>
      <c r="H3" s="15">
        <f>SUM(G3:G82)</f>
        <v>6.0564198971207926E-2</v>
      </c>
      <c r="I3" s="11">
        <f>Values!T3</f>
        <v>2</v>
      </c>
      <c r="J3" s="11">
        <f t="shared" ref="J3:J34" si="3">C3-0.8</f>
        <v>88.270206162964968</v>
      </c>
      <c r="K3" s="11">
        <f t="shared" ref="K3:K34" si="4">SQRT(D3*(D3+((2*TAN(RADIANS(P3)))/2.5)))</f>
        <v>2.4047224374987173</v>
      </c>
      <c r="L3" s="11">
        <f t="shared" ref="L3:L34" si="5">I3</f>
        <v>2</v>
      </c>
      <c r="M3" s="11">
        <f t="shared" ref="M3:M34" si="6">K3*(B3+C3)/C3</f>
        <v>10.349095016519849</v>
      </c>
      <c r="N3" s="11">
        <f t="shared" ref="N3:N34" si="7">SQRT(L3*L3+M3*M3)</f>
        <v>10.540577197713414</v>
      </c>
      <c r="O3" s="15">
        <f>AVERAGE(N3:N83)</f>
        <v>10.915739760970048</v>
      </c>
      <c r="P3" s="14">
        <f>Coordinates!AG3</f>
        <v>14.990222819551791</v>
      </c>
      <c r="Q3" s="14">
        <f t="shared" ref="Q3:Q34" si="8">(D3/2)/(TAN(RADIANS(P3)))</f>
        <v>4.294789814985732</v>
      </c>
      <c r="R3" s="14">
        <f>(((TAN(RADIANS(Coordinates!AH3)))*3)*2)+D3</f>
        <v>4.0615317933915183</v>
      </c>
      <c r="S3" s="11">
        <v>50</v>
      </c>
      <c r="T3" s="11">
        <v>10</v>
      </c>
      <c r="U3" s="11">
        <v>2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</row>
    <row r="4" spans="1:55" ht="15" customHeight="1" x14ac:dyDescent="0.45">
      <c r="A4" s="13">
        <v>2</v>
      </c>
      <c r="B4" s="11">
        <f>Coordinates!E4</f>
        <v>274.65173435878756</v>
      </c>
      <c r="C4" s="14">
        <f t="shared" si="0"/>
        <v>82.700811490358959</v>
      </c>
      <c r="D4" s="14">
        <v>2.2999999999999998</v>
      </c>
      <c r="E4" s="11">
        <v>0</v>
      </c>
      <c r="F4" s="11">
        <f t="shared" si="1"/>
        <v>1</v>
      </c>
      <c r="G4" s="11">
        <f t="shared" si="2"/>
        <v>4.8226499683673755E-4</v>
      </c>
      <c r="H4" s="11"/>
      <c r="I4" s="11">
        <f>Values!T4</f>
        <v>2</v>
      </c>
      <c r="J4" s="11">
        <f t="shared" si="3"/>
        <v>81.900811490358961</v>
      </c>
      <c r="K4" s="11">
        <f t="shared" si="4"/>
        <v>2.4125993583220553</v>
      </c>
      <c r="L4" s="11">
        <f t="shared" si="5"/>
        <v>2</v>
      </c>
      <c r="M4" s="11">
        <f t="shared" si="6"/>
        <v>10.424910073716879</v>
      </c>
      <c r="N4" s="11">
        <f t="shared" si="7"/>
        <v>10.615024731251626</v>
      </c>
      <c r="O4" s="11"/>
      <c r="P4" s="14">
        <f>Coordinates!AG4</f>
        <v>16.08697662784903</v>
      </c>
      <c r="Q4" s="14">
        <f t="shared" si="8"/>
        <v>3.9876701557196141</v>
      </c>
      <c r="R4" s="14">
        <f>(((TAN(RADIANS(Coordinates!AH4)))*3)*2)+D4</f>
        <v>4.1972002471619154</v>
      </c>
      <c r="S4" s="11">
        <v>50</v>
      </c>
      <c r="T4" s="11">
        <v>10</v>
      </c>
      <c r="U4" s="11">
        <v>2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2"/>
    </row>
    <row r="5" spans="1:55" ht="15" customHeight="1" x14ac:dyDescent="0.45">
      <c r="A5" s="13">
        <v>3</v>
      </c>
      <c r="B5" s="11">
        <f>Coordinates!E5</f>
        <v>253.46751925319742</v>
      </c>
      <c r="C5" s="14">
        <f t="shared" si="0"/>
        <v>75.776075670588156</v>
      </c>
      <c r="D5" s="14">
        <v>2.2999999999999998</v>
      </c>
      <c r="E5" s="11">
        <v>0</v>
      </c>
      <c r="F5" s="11">
        <f t="shared" si="1"/>
        <v>1</v>
      </c>
      <c r="G5" s="11">
        <f t="shared" si="2"/>
        <v>5.7096425971428836E-4</v>
      </c>
      <c r="H5" s="11"/>
      <c r="I5" s="11">
        <f>Values!T5</f>
        <v>2</v>
      </c>
      <c r="J5" s="11">
        <f t="shared" si="3"/>
        <v>74.976075670588159</v>
      </c>
      <c r="K5" s="11">
        <f t="shared" si="4"/>
        <v>2.4226281963519134</v>
      </c>
      <c r="L5" s="11">
        <f t="shared" si="5"/>
        <v>2</v>
      </c>
      <c r="M5" s="11">
        <f t="shared" si="6"/>
        <v>10.526209090031115</v>
      </c>
      <c r="N5" s="11">
        <f t="shared" si="7"/>
        <v>10.714526485433394</v>
      </c>
      <c r="O5" s="11"/>
      <c r="P5" s="14">
        <f>Coordinates!AG5</f>
        <v>17.471037824207659</v>
      </c>
      <c r="Q5" s="14">
        <f t="shared" si="8"/>
        <v>3.6537730407201834</v>
      </c>
      <c r="R5" s="14">
        <f>(((TAN(RADIANS(Coordinates!AH5)))*3)*2)+D5</f>
        <v>4.3705743681168148</v>
      </c>
      <c r="S5" s="11">
        <v>50</v>
      </c>
      <c r="T5" s="11">
        <v>10</v>
      </c>
      <c r="U5" s="11">
        <v>2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2"/>
    </row>
    <row r="6" spans="1:55" ht="15" customHeight="1" x14ac:dyDescent="0.45">
      <c r="A6" s="13">
        <v>4</v>
      </c>
      <c r="B6" s="11">
        <f>Coordinates!E6</f>
        <v>232.73109443359735</v>
      </c>
      <c r="C6" s="14">
        <f t="shared" si="0"/>
        <v>68.942582316349998</v>
      </c>
      <c r="D6" s="14">
        <v>2.2999999999999998</v>
      </c>
      <c r="E6" s="11">
        <v>0</v>
      </c>
      <c r="F6" s="11">
        <f t="shared" si="1"/>
        <v>1</v>
      </c>
      <c r="G6" s="11">
        <f t="shared" si="2"/>
        <v>6.8386701603913346E-4</v>
      </c>
      <c r="H6" s="11"/>
      <c r="I6" s="11">
        <f>Values!T6</f>
        <v>2</v>
      </c>
      <c r="J6" s="11">
        <f t="shared" si="3"/>
        <v>68.142582316350001</v>
      </c>
      <c r="K6" s="11">
        <f t="shared" si="4"/>
        <v>2.4344464837058495</v>
      </c>
      <c r="L6" s="11">
        <f t="shared" si="5"/>
        <v>2</v>
      </c>
      <c r="M6" s="11">
        <f t="shared" si="6"/>
        <v>10.652464658498243</v>
      </c>
      <c r="N6" s="11">
        <f t="shared" si="7"/>
        <v>10.838588621243732</v>
      </c>
      <c r="O6" s="11"/>
      <c r="P6" s="14">
        <f>Coordinates!AG6</f>
        <v>19.082552108251065</v>
      </c>
      <c r="Q6" s="14">
        <f t="shared" si="8"/>
        <v>3.3242754576017819</v>
      </c>
      <c r="R6" s="14">
        <f>(((TAN(RADIANS(Coordinates!AH6)))*3)*2)+D6</f>
        <v>4.5758068341572775</v>
      </c>
      <c r="S6" s="11">
        <v>50</v>
      </c>
      <c r="T6" s="11">
        <v>10</v>
      </c>
      <c r="U6" s="11">
        <v>2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2"/>
    </row>
    <row r="7" spans="1:55" ht="15" customHeight="1" x14ac:dyDescent="0.45">
      <c r="A7" s="13">
        <v>5</v>
      </c>
      <c r="B7" s="11">
        <f>Coordinates!E7</f>
        <v>214.37084250723092</v>
      </c>
      <c r="C7" s="14">
        <f t="shared" si="0"/>
        <v>62.832246190843783</v>
      </c>
      <c r="D7" s="14">
        <v>2.2999999999999998</v>
      </c>
      <c r="E7" s="11">
        <v>0</v>
      </c>
      <c r="F7" s="11">
        <f t="shared" si="1"/>
        <v>1</v>
      </c>
      <c r="G7" s="11">
        <f t="shared" si="2"/>
        <v>8.1444479263772856E-4</v>
      </c>
      <c r="H7" s="11"/>
      <c r="I7" s="11">
        <f>Values!T7</f>
        <v>2</v>
      </c>
      <c r="J7" s="11">
        <f t="shared" si="3"/>
        <v>62.032246190843786</v>
      </c>
      <c r="K7" s="11">
        <f t="shared" si="4"/>
        <v>2.4471271283693641</v>
      </c>
      <c r="L7" s="11">
        <f t="shared" si="5"/>
        <v>2</v>
      </c>
      <c r="M7" s="11">
        <f t="shared" si="6"/>
        <v>10.796227089517773</v>
      </c>
      <c r="N7" s="11">
        <f t="shared" si="7"/>
        <v>10.97991436070598</v>
      </c>
      <c r="O7" s="11"/>
      <c r="P7" s="14">
        <f>Coordinates!AG7</f>
        <v>20.785868660128905</v>
      </c>
      <c r="Q7" s="14">
        <f t="shared" si="8"/>
        <v>3.0296470909631172</v>
      </c>
      <c r="R7" s="14">
        <f>(((TAN(RADIANS(Coordinates!AH7)))*3)*2)+D7</f>
        <v>4.7971254333871682</v>
      </c>
      <c r="S7" s="11">
        <v>50</v>
      </c>
      <c r="T7" s="11">
        <v>10</v>
      </c>
      <c r="U7" s="11">
        <v>2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2"/>
    </row>
    <row r="8" spans="1:55" ht="15" customHeight="1" x14ac:dyDescent="0.45">
      <c r="A8" s="13">
        <v>6</v>
      </c>
      <c r="B8" s="11">
        <f>Coordinates!E8</f>
        <v>199.93874817416858</v>
      </c>
      <c r="C8" s="14">
        <f t="shared" si="0"/>
        <v>57.977630449821568</v>
      </c>
      <c r="D8" s="14">
        <v>2.2999999999999998</v>
      </c>
      <c r="E8" s="11">
        <v>0</v>
      </c>
      <c r="F8" s="11">
        <f t="shared" si="1"/>
        <v>1</v>
      </c>
      <c r="G8" s="11">
        <f t="shared" si="2"/>
        <v>9.4540908808358472E-4</v>
      </c>
      <c r="H8" s="11"/>
      <c r="I8" s="11">
        <f>Values!T8</f>
        <v>2</v>
      </c>
      <c r="J8" s="11">
        <f t="shared" si="3"/>
        <v>57.177630449821571</v>
      </c>
      <c r="K8" s="11">
        <f t="shared" si="4"/>
        <v>2.4590470953503933</v>
      </c>
      <c r="L8" s="11">
        <f t="shared" si="5"/>
        <v>2</v>
      </c>
      <c r="M8" s="11">
        <f t="shared" si="6"/>
        <v>10.939193560998097</v>
      </c>
      <c r="N8" s="11">
        <f t="shared" si="7"/>
        <v>11.120519581610484</v>
      </c>
      <c r="O8" s="11"/>
      <c r="P8" s="14">
        <f>Coordinates!AG8</f>
        <v>22.360577959830703</v>
      </c>
      <c r="Q8" s="14">
        <f t="shared" si="8"/>
        <v>2.7955670866790272</v>
      </c>
      <c r="R8" s="14">
        <f>(((TAN(RADIANS(Coordinates!AH8)))*3)*2)+D8</f>
        <v>5.0062161523795572</v>
      </c>
      <c r="S8" s="11">
        <v>50</v>
      </c>
      <c r="T8" s="11">
        <v>10</v>
      </c>
      <c r="U8" s="11">
        <v>2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2"/>
    </row>
    <row r="9" spans="1:55" ht="15" customHeight="1" x14ac:dyDescent="0.45">
      <c r="A9" s="13">
        <v>7</v>
      </c>
      <c r="B9" s="11">
        <f>Coordinates!E9</f>
        <v>190.57443933364613</v>
      </c>
      <c r="C9" s="14">
        <f t="shared" si="0"/>
        <v>54.797151179694914</v>
      </c>
      <c r="D9" s="14">
        <v>2.2999999999999998</v>
      </c>
      <c r="E9" s="11">
        <v>0</v>
      </c>
      <c r="F9" s="11">
        <f t="shared" si="1"/>
        <v>1</v>
      </c>
      <c r="G9" s="11">
        <f t="shared" si="2"/>
        <v>1.0481615675950896E-3</v>
      </c>
      <c r="H9" s="11"/>
      <c r="I9" s="11">
        <f>Values!T9</f>
        <v>2</v>
      </c>
      <c r="J9" s="11">
        <f t="shared" si="3"/>
        <v>53.997151179694917</v>
      </c>
      <c r="K9" s="11">
        <f t="shared" si="4"/>
        <v>2.4679636448356206</v>
      </c>
      <c r="L9" s="11">
        <f t="shared" si="5"/>
        <v>2</v>
      </c>
      <c r="M9" s="11">
        <f t="shared" si="6"/>
        <v>11.051088456708161</v>
      </c>
      <c r="N9" s="11">
        <f t="shared" si="7"/>
        <v>11.230608001261034</v>
      </c>
      <c r="O9" s="11"/>
      <c r="P9" s="14">
        <f>Coordinates!AG9</f>
        <v>23.520679479305834</v>
      </c>
      <c r="Q9" s="14">
        <f t="shared" si="8"/>
        <v>2.6422106438846602</v>
      </c>
      <c r="R9" s="14">
        <f>(((TAN(RADIANS(Coordinates!AH9)))*3)*2)+D9</f>
        <v>5.1632875363443951</v>
      </c>
      <c r="S9" s="11">
        <v>50</v>
      </c>
      <c r="T9" s="11">
        <v>10</v>
      </c>
      <c r="U9" s="11">
        <v>2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2"/>
    </row>
    <row r="10" spans="1:55" ht="15" customHeight="1" x14ac:dyDescent="0.45">
      <c r="A10" s="13">
        <v>8</v>
      </c>
      <c r="B10" s="11">
        <f>Coordinates!E10</f>
        <v>186.98849879246583</v>
      </c>
      <c r="C10" s="14">
        <f t="shared" si="0"/>
        <v>53.571762152255161</v>
      </c>
      <c r="D10" s="14">
        <v>2.2999999999999998</v>
      </c>
      <c r="E10" s="11">
        <v>0</v>
      </c>
      <c r="F10" s="11">
        <f t="shared" si="1"/>
        <v>1</v>
      </c>
      <c r="G10" s="11">
        <f t="shared" si="2"/>
        <v>1.0920233710217005E-3</v>
      </c>
      <c r="H10" s="11"/>
      <c r="I10" s="11">
        <f>Values!T10</f>
        <v>2</v>
      </c>
      <c r="J10" s="11">
        <f t="shared" si="3"/>
        <v>52.771762152255164</v>
      </c>
      <c r="K10" s="11">
        <f t="shared" si="4"/>
        <v>2.4716720856946162</v>
      </c>
      <c r="L10" s="11">
        <f t="shared" si="5"/>
        <v>2</v>
      </c>
      <c r="M10" s="11">
        <f t="shared" si="6"/>
        <v>11.098871084632595</v>
      </c>
      <c r="N10" s="11">
        <f t="shared" si="7"/>
        <v>11.277630041515527</v>
      </c>
      <c r="O10" s="11"/>
      <c r="P10" s="14">
        <f>Coordinates!AG10</f>
        <v>23.998495777841512</v>
      </c>
      <c r="Q10" s="14">
        <f t="shared" si="8"/>
        <v>2.5831247997942737</v>
      </c>
      <c r="R10" s="14">
        <f>(((TAN(RADIANS(Coordinates!AH10)))*3)*2)+D10</f>
        <v>5.2287817629384268</v>
      </c>
      <c r="S10" s="11">
        <v>50</v>
      </c>
      <c r="T10" s="11">
        <v>10</v>
      </c>
      <c r="U10" s="11">
        <v>2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2"/>
    </row>
    <row r="11" spans="1:55" ht="15" customHeight="1" x14ac:dyDescent="0.45">
      <c r="A11" s="13">
        <v>9</v>
      </c>
      <c r="B11" s="11">
        <f>Coordinates!E11</f>
        <v>189.43283011384273</v>
      </c>
      <c r="C11" s="14">
        <f t="shared" si="0"/>
        <v>54.407518077103731</v>
      </c>
      <c r="D11" s="14">
        <v>2.2999999999999998</v>
      </c>
      <c r="E11" s="11">
        <v>0</v>
      </c>
      <c r="F11" s="11">
        <f t="shared" si="1"/>
        <v>1</v>
      </c>
      <c r="G11" s="11">
        <f t="shared" si="2"/>
        <v>1.0618319239014281E-3</v>
      </c>
      <c r="H11" s="11"/>
      <c r="I11" s="11">
        <f>Values!T11</f>
        <v>2</v>
      </c>
      <c r="J11" s="11">
        <f t="shared" si="3"/>
        <v>53.607518077103734</v>
      </c>
      <c r="K11" s="11">
        <f t="shared" si="4"/>
        <v>2.4691252919197915</v>
      </c>
      <c r="L11" s="11">
        <f t="shared" si="5"/>
        <v>2</v>
      </c>
      <c r="M11" s="11">
        <f t="shared" si="6"/>
        <v>11.065977500674927</v>
      </c>
      <c r="N11" s="11">
        <f t="shared" si="7"/>
        <v>11.245259358745075</v>
      </c>
      <c r="O11" s="11"/>
      <c r="P11" s="14">
        <f>Coordinates!AG11</f>
        <v>23.67065249103387</v>
      </c>
      <c r="Q11" s="14">
        <f t="shared" si="8"/>
        <v>2.623423303508146</v>
      </c>
      <c r="R11" s="14">
        <f>(((TAN(RADIANS(Coordinates!AH11)))*3)*2)+D11</f>
        <v>5.1837926364817601</v>
      </c>
      <c r="S11" s="11">
        <v>50</v>
      </c>
      <c r="T11" s="11">
        <v>10</v>
      </c>
      <c r="U11" s="11">
        <v>2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2"/>
    </row>
    <row r="12" spans="1:55" ht="15" customHeight="1" x14ac:dyDescent="0.45">
      <c r="A12" s="13">
        <v>10</v>
      </c>
      <c r="B12" s="11">
        <f>Coordinates!E12</f>
        <v>196.99022739730009</v>
      </c>
      <c r="C12" s="14">
        <f t="shared" si="0"/>
        <v>56.979059522021117</v>
      </c>
      <c r="D12" s="14">
        <v>2.2999999999999998</v>
      </c>
      <c r="E12" s="11">
        <v>0</v>
      </c>
      <c r="F12" s="11">
        <f t="shared" si="1"/>
        <v>1</v>
      </c>
      <c r="G12" s="11">
        <f t="shared" si="2"/>
        <v>9.7605886890429424E-4</v>
      </c>
      <c r="H12" s="11"/>
      <c r="I12" s="11">
        <f>Values!T12</f>
        <v>2</v>
      </c>
      <c r="J12" s="11">
        <f t="shared" si="3"/>
        <v>56.17905952202112</v>
      </c>
      <c r="K12" s="11">
        <f t="shared" si="4"/>
        <v>2.4617428139957194</v>
      </c>
      <c r="L12" s="11">
        <f t="shared" si="5"/>
        <v>2</v>
      </c>
      <c r="M12" s="11">
        <f t="shared" si="6"/>
        <v>10.972576105922345</v>
      </c>
      <c r="N12" s="11">
        <f t="shared" si="7"/>
        <v>11.15335942217671</v>
      </c>
      <c r="O12" s="11"/>
      <c r="P12" s="14">
        <f>Coordinates!AG12</f>
        <v>22.712958340784315</v>
      </c>
      <c r="Q12" s="14">
        <f t="shared" si="8"/>
        <v>2.7474179643741836</v>
      </c>
      <c r="R12" s="14">
        <f>(((TAN(RADIANS(Coordinates!AH12)))*3)*2)+D12</f>
        <v>5.0536432035941496</v>
      </c>
      <c r="S12" s="11">
        <v>50</v>
      </c>
      <c r="T12" s="11">
        <v>10</v>
      </c>
      <c r="U12" s="11">
        <v>2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2"/>
    </row>
    <row r="13" spans="1:55" ht="15" customHeight="1" x14ac:dyDescent="0.45">
      <c r="A13" s="13">
        <v>11</v>
      </c>
      <c r="B13" s="11">
        <f>Coordinates!E13</f>
        <v>208.1366191241666</v>
      </c>
      <c r="C13" s="14">
        <f t="shared" si="0"/>
        <v>60.741524539105065</v>
      </c>
      <c r="D13" s="14">
        <v>2.2999999999999998</v>
      </c>
      <c r="E13" s="11">
        <v>0</v>
      </c>
      <c r="F13" s="11">
        <f t="shared" si="1"/>
        <v>1</v>
      </c>
      <c r="G13" s="11">
        <f t="shared" si="2"/>
        <v>8.6743318414598375E-4</v>
      </c>
      <c r="H13" s="11"/>
      <c r="I13" s="11">
        <f>Values!T13</f>
        <v>2</v>
      </c>
      <c r="J13" s="11">
        <f t="shared" si="3"/>
        <v>59.941524539105068</v>
      </c>
      <c r="K13" s="11">
        <f t="shared" si="4"/>
        <v>2.4520340872505826</v>
      </c>
      <c r="L13" s="11">
        <f t="shared" si="5"/>
        <v>2</v>
      </c>
      <c r="M13" s="11">
        <f t="shared" si="6"/>
        <v>10.854162429764973</v>
      </c>
      <c r="N13" s="11">
        <f t="shared" si="7"/>
        <v>11.036885523177336</v>
      </c>
      <c r="O13" s="11"/>
      <c r="P13" s="14">
        <f>Coordinates!AG13</f>
        <v>21.437323572318309</v>
      </c>
      <c r="Q13" s="14">
        <f t="shared" si="8"/>
        <v>2.9288366129966801</v>
      </c>
      <c r="R13" s="14">
        <f>(((TAN(RADIANS(Coordinates!AH13)))*3)*2)+D13</f>
        <v>4.8830764240859414</v>
      </c>
      <c r="S13" s="11">
        <v>50</v>
      </c>
      <c r="T13" s="11">
        <v>10</v>
      </c>
      <c r="U13" s="11">
        <v>2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2"/>
    </row>
    <row r="14" spans="1:55" ht="15" customHeight="1" x14ac:dyDescent="0.45">
      <c r="A14" s="13">
        <v>12</v>
      </c>
      <c r="B14" s="11">
        <f>Coordinates!E14</f>
        <v>220.94817055306794</v>
      </c>
      <c r="C14" s="14">
        <f t="shared" si="0"/>
        <v>65.028733114332397</v>
      </c>
      <c r="D14" s="14">
        <v>2.2999999999999998</v>
      </c>
      <c r="E14" s="11">
        <v>0</v>
      </c>
      <c r="F14" s="11">
        <f t="shared" si="1"/>
        <v>1</v>
      </c>
      <c r="G14" s="11">
        <f t="shared" si="2"/>
        <v>7.6365641974039883E-4</v>
      </c>
      <c r="H14" s="11"/>
      <c r="I14" s="11">
        <f>Values!T14</f>
        <v>2</v>
      </c>
      <c r="J14" s="11">
        <f t="shared" si="3"/>
        <v>64.2287331143324</v>
      </c>
      <c r="K14" s="11">
        <f t="shared" si="4"/>
        <v>2.4423022232841571</v>
      </c>
      <c r="L14" s="11">
        <f t="shared" si="5"/>
        <v>2</v>
      </c>
      <c r="M14" s="11">
        <f t="shared" si="6"/>
        <v>10.740514141753652</v>
      </c>
      <c r="N14" s="11">
        <f t="shared" si="7"/>
        <v>10.92513816979951</v>
      </c>
      <c r="O14" s="11"/>
      <c r="P14" s="14">
        <f>Coordinates!AG14</f>
        <v>20.141065168987346</v>
      </c>
      <c r="Q14" s="14">
        <f t="shared" si="8"/>
        <v>3.1355573619070132</v>
      </c>
      <c r="R14" s="14">
        <f>(((TAN(RADIANS(Coordinates!AH14)))*3)*2)+D14</f>
        <v>4.712779589664482</v>
      </c>
      <c r="S14" s="11">
        <v>50</v>
      </c>
      <c r="T14" s="11">
        <v>10</v>
      </c>
      <c r="U14" s="11">
        <v>2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2"/>
    </row>
    <row r="15" spans="1:55" ht="15" customHeight="1" x14ac:dyDescent="0.45">
      <c r="A15" s="13">
        <v>13</v>
      </c>
      <c r="B15" s="11">
        <f>Coordinates!E15</f>
        <v>233.3333932172892</v>
      </c>
      <c r="C15" s="14">
        <f t="shared" si="0"/>
        <v>69.141984211777583</v>
      </c>
      <c r="D15" s="14">
        <v>2.2999999999999998</v>
      </c>
      <c r="E15" s="11">
        <v>0</v>
      </c>
      <c r="F15" s="11">
        <f t="shared" si="1"/>
        <v>1</v>
      </c>
      <c r="G15" s="11">
        <f t="shared" si="2"/>
        <v>6.8013033547457719E-4</v>
      </c>
      <c r="H15" s="11"/>
      <c r="I15" s="11">
        <f>Values!T15</f>
        <v>2</v>
      </c>
      <c r="J15" s="11">
        <f t="shared" si="3"/>
        <v>68.341984211777586</v>
      </c>
      <c r="K15" s="11">
        <f t="shared" si="4"/>
        <v>2.4340694245332308</v>
      </c>
      <c r="L15" s="11">
        <f t="shared" si="5"/>
        <v>2</v>
      </c>
      <c r="M15" s="11">
        <f t="shared" si="6"/>
        <v>10.648321367508988</v>
      </c>
      <c r="N15" s="11">
        <f t="shared" si="7"/>
        <v>10.834516507244265</v>
      </c>
      <c r="O15" s="11"/>
      <c r="P15" s="14">
        <f>Coordinates!AG15</f>
        <v>19.031483632559436</v>
      </c>
      <c r="Q15" s="14">
        <f t="shared" si="8"/>
        <v>3.3338902240479755</v>
      </c>
      <c r="R15" s="14">
        <f>(((TAN(RADIANS(Coordinates!AH15)))*3)*2)+D15</f>
        <v>4.5692435253148815</v>
      </c>
      <c r="S15" s="11">
        <v>50</v>
      </c>
      <c r="T15" s="11">
        <v>10</v>
      </c>
      <c r="U15" s="11">
        <v>2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2"/>
    </row>
    <row r="16" spans="1:55" ht="15" customHeight="1" x14ac:dyDescent="0.45">
      <c r="A16" s="13">
        <v>14</v>
      </c>
      <c r="B16" s="11">
        <f>Coordinates!E16</f>
        <v>243.57250565047363</v>
      </c>
      <c r="C16" s="14">
        <f t="shared" si="0"/>
        <v>72.523027324148345</v>
      </c>
      <c r="D16" s="14">
        <v>2.2999999999999998</v>
      </c>
      <c r="E16" s="11">
        <v>0</v>
      </c>
      <c r="F16" s="11">
        <f t="shared" si="1"/>
        <v>1</v>
      </c>
      <c r="G16" s="11">
        <f t="shared" si="2"/>
        <v>6.210334425664736E-4</v>
      </c>
      <c r="H16" s="11"/>
      <c r="I16" s="11">
        <f>Values!T16</f>
        <v>2</v>
      </c>
      <c r="J16" s="11">
        <f t="shared" si="3"/>
        <v>71.723027324148347</v>
      </c>
      <c r="K16" s="11">
        <f t="shared" si="4"/>
        <v>2.4279835995178911</v>
      </c>
      <c r="L16" s="11">
        <f t="shared" si="5"/>
        <v>2</v>
      </c>
      <c r="M16" s="11">
        <f t="shared" si="6"/>
        <v>10.582497701219086</v>
      </c>
      <c r="N16" s="11">
        <f t="shared" si="7"/>
        <v>10.769830899150982</v>
      </c>
      <c r="O16" s="11"/>
      <c r="P16" s="14">
        <f>Coordinates!AG16</f>
        <v>18.204022349783326</v>
      </c>
      <c r="Q16" s="14">
        <f t="shared" si="8"/>
        <v>3.4969174600742385</v>
      </c>
      <c r="R16" s="14">
        <f>(((TAN(RADIANS(Coordinates!AH16)))*3)*2)+D16</f>
        <v>4.4634507795533818</v>
      </c>
      <c r="S16" s="11">
        <v>50</v>
      </c>
      <c r="T16" s="11">
        <v>10</v>
      </c>
      <c r="U16" s="11">
        <v>2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2"/>
    </row>
    <row r="17" spans="1:55" ht="15" customHeight="1" x14ac:dyDescent="0.45">
      <c r="A17" s="13">
        <v>15</v>
      </c>
      <c r="B17" s="11">
        <f>Coordinates!E17</f>
        <v>250.80840920682863</v>
      </c>
      <c r="C17" s="14">
        <f t="shared" si="0"/>
        <v>74.90315784053459</v>
      </c>
      <c r="D17" s="14">
        <v>2.2999999999999998</v>
      </c>
      <c r="E17" s="11">
        <v>0</v>
      </c>
      <c r="F17" s="11">
        <f t="shared" si="1"/>
        <v>1</v>
      </c>
      <c r="G17" s="11">
        <f t="shared" si="2"/>
        <v>5.8380591294812754E-4</v>
      </c>
      <c r="H17" s="11"/>
      <c r="I17" s="11">
        <f>Values!T17</f>
        <v>2</v>
      </c>
      <c r="J17" s="11">
        <f t="shared" si="3"/>
        <v>74.103157840534593</v>
      </c>
      <c r="K17" s="11">
        <f t="shared" si="4"/>
        <v>2.4240207302345103</v>
      </c>
      <c r="L17" s="11">
        <f t="shared" si="5"/>
        <v>2</v>
      </c>
      <c r="M17" s="11">
        <f t="shared" si="6"/>
        <v>10.54069832784424</v>
      </c>
      <c r="N17" s="11">
        <f t="shared" si="7"/>
        <v>10.728761402818982</v>
      </c>
      <c r="O17" s="11"/>
      <c r="P17" s="14">
        <f>Coordinates!AG17</f>
        <v>17.662054770199966</v>
      </c>
      <c r="Q17" s="14">
        <f t="shared" si="8"/>
        <v>3.6116826631704302</v>
      </c>
      <c r="R17" s="14">
        <f>(((TAN(RADIANS(Coordinates!AH17)))*3)*2)+D17</f>
        <v>4.3947047430768258</v>
      </c>
      <c r="S17" s="11">
        <v>50</v>
      </c>
      <c r="T17" s="11">
        <v>10</v>
      </c>
      <c r="U17" s="11">
        <v>2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2"/>
    </row>
    <row r="18" spans="1:55" ht="15" customHeight="1" x14ac:dyDescent="0.45">
      <c r="A18" s="13">
        <v>16</v>
      </c>
      <c r="B18" s="11">
        <f>Coordinates!E18</f>
        <v>255.16443254045029</v>
      </c>
      <c r="C18" s="14">
        <f t="shared" si="0"/>
        <v>76.332661146866826</v>
      </c>
      <c r="D18" s="14">
        <v>2.2999999999999998</v>
      </c>
      <c r="E18" s="11">
        <v>0</v>
      </c>
      <c r="F18" s="11">
        <f t="shared" si="1"/>
        <v>1</v>
      </c>
      <c r="G18" s="11">
        <f t="shared" si="2"/>
        <v>5.6299001939728226E-4</v>
      </c>
      <c r="H18" s="11"/>
      <c r="I18" s="11">
        <f>Values!T18</f>
        <v>2</v>
      </c>
      <c r="J18" s="11">
        <f t="shared" si="3"/>
        <v>75.532661146866829</v>
      </c>
      <c r="K18" s="11">
        <f t="shared" si="4"/>
        <v>2.4217565166408157</v>
      </c>
      <c r="L18" s="11">
        <f t="shared" si="5"/>
        <v>2</v>
      </c>
      <c r="M18" s="11">
        <f t="shared" si="6"/>
        <v>10.517191917888526</v>
      </c>
      <c r="N18" s="11">
        <f t="shared" si="7"/>
        <v>10.705667930479617</v>
      </c>
      <c r="O18" s="11"/>
      <c r="P18" s="14">
        <f>Coordinates!AG18</f>
        <v>17.351318962989911</v>
      </c>
      <c r="Q18" s="14">
        <f t="shared" si="8"/>
        <v>3.6806104955512304</v>
      </c>
      <c r="R18" s="14">
        <f>(((TAN(RADIANS(Coordinates!AH18)))*3)*2)+D18</f>
        <v>4.3554766156798674</v>
      </c>
      <c r="S18" s="11">
        <v>50</v>
      </c>
      <c r="T18" s="11">
        <v>10</v>
      </c>
      <c r="U18" s="11">
        <v>2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2"/>
    </row>
    <row r="19" spans="1:55" ht="15" customHeight="1" x14ac:dyDescent="0.45">
      <c r="A19" s="13">
        <v>17</v>
      </c>
      <c r="B19" s="11">
        <f>Coordinates!E19</f>
        <v>257.48995074029585</v>
      </c>
      <c r="C19" s="14">
        <f t="shared" si="0"/>
        <v>77.094853118342996</v>
      </c>
      <c r="D19" s="14">
        <v>2.2999999999999998</v>
      </c>
      <c r="E19" s="11">
        <v>0</v>
      </c>
      <c r="F19" s="11">
        <f t="shared" si="1"/>
        <v>1</v>
      </c>
      <c r="G19" s="11">
        <f t="shared" si="2"/>
        <v>5.5233087301989853E-4</v>
      </c>
      <c r="H19" s="11"/>
      <c r="I19" s="11">
        <f>Values!T19</f>
        <v>2</v>
      </c>
      <c r="J19" s="11">
        <f t="shared" si="3"/>
        <v>76.294853118342999</v>
      </c>
      <c r="K19" s="11">
        <f t="shared" si="4"/>
        <v>2.4205827559169513</v>
      </c>
      <c r="L19" s="11">
        <f t="shared" si="5"/>
        <v>2</v>
      </c>
      <c r="M19" s="11">
        <f t="shared" si="6"/>
        <v>10.505113815689745</v>
      </c>
      <c r="N19" s="11">
        <f t="shared" si="7"/>
        <v>10.69380270439826</v>
      </c>
      <c r="O19" s="11"/>
      <c r="P19" s="14">
        <f>Coordinates!AG19</f>
        <v>17.189932554202649</v>
      </c>
      <c r="Q19" s="14">
        <f t="shared" si="8"/>
        <v>3.7173618904022829</v>
      </c>
      <c r="R19" s="14">
        <f>(((TAN(RADIANS(Coordinates!AH19)))*3)*2)+D19</f>
        <v>4.3351553139241812</v>
      </c>
      <c r="S19" s="11">
        <v>50</v>
      </c>
      <c r="T19" s="11">
        <v>10</v>
      </c>
      <c r="U19" s="11">
        <v>2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2"/>
    </row>
    <row r="20" spans="1:55" ht="15" customHeight="1" x14ac:dyDescent="0.45">
      <c r="A20" s="13">
        <v>18</v>
      </c>
      <c r="B20" s="11">
        <f>Coordinates!E20</f>
        <v>258.94151696568474</v>
      </c>
      <c r="C20" s="14">
        <f t="shared" si="0"/>
        <v>77.570276742787186</v>
      </c>
      <c r="D20" s="14">
        <v>2.2999999999999998</v>
      </c>
      <c r="E20" s="11">
        <v>0</v>
      </c>
      <c r="F20" s="11">
        <f t="shared" si="1"/>
        <v>1</v>
      </c>
      <c r="G20" s="11">
        <f t="shared" si="2"/>
        <v>5.4583055742181733E-4</v>
      </c>
      <c r="H20" s="11"/>
      <c r="I20" s="11">
        <f>Values!T20</f>
        <v>2</v>
      </c>
      <c r="J20" s="11">
        <f t="shared" si="3"/>
        <v>76.770276742787189</v>
      </c>
      <c r="K20" s="11">
        <f t="shared" si="4"/>
        <v>2.4198620120262486</v>
      </c>
      <c r="L20" s="11">
        <f t="shared" si="5"/>
        <v>2</v>
      </c>
      <c r="M20" s="11">
        <f t="shared" si="6"/>
        <v>10.497733673093579</v>
      </c>
      <c r="N20" s="11">
        <f t="shared" si="7"/>
        <v>10.686552871305265</v>
      </c>
      <c r="O20" s="11"/>
      <c r="P20" s="14">
        <f>Coordinates!AG20</f>
        <v>17.090732873065239</v>
      </c>
      <c r="Q20" s="14">
        <f t="shared" si="8"/>
        <v>3.7402858806794654</v>
      </c>
      <c r="R20" s="14">
        <f>(((TAN(RADIANS(Coordinates!AH20)))*3)*2)+D20</f>
        <v>4.3226819677369424</v>
      </c>
      <c r="S20" s="11">
        <v>50</v>
      </c>
      <c r="T20" s="11">
        <v>10</v>
      </c>
      <c r="U20" s="11">
        <v>2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2"/>
    </row>
    <row r="21" spans="1:55" ht="15" customHeight="1" x14ac:dyDescent="0.45">
      <c r="A21" s="13">
        <v>19</v>
      </c>
      <c r="B21" s="11">
        <f>Coordinates!E21</f>
        <v>260.61697099362118</v>
      </c>
      <c r="C21" s="14">
        <f t="shared" si="0"/>
        <v>78.118721621072226</v>
      </c>
      <c r="D21" s="14">
        <v>2.2999999999999998</v>
      </c>
      <c r="E21" s="11">
        <v>0</v>
      </c>
      <c r="F21" s="11">
        <f t="shared" si="1"/>
        <v>1</v>
      </c>
      <c r="G21" s="11">
        <f t="shared" si="2"/>
        <v>5.3846956703251239E-4</v>
      </c>
      <c r="H21" s="11"/>
      <c r="I21" s="11">
        <f>Values!T21</f>
        <v>2</v>
      </c>
      <c r="J21" s="11">
        <f t="shared" si="3"/>
        <v>77.318721621072228</v>
      </c>
      <c r="K21" s="11">
        <f t="shared" si="4"/>
        <v>2.4190412036356861</v>
      </c>
      <c r="L21" s="11">
        <f t="shared" si="5"/>
        <v>2</v>
      </c>
      <c r="M21" s="11">
        <f t="shared" si="6"/>
        <v>10.489362608258318</v>
      </c>
      <c r="N21" s="11">
        <f t="shared" si="7"/>
        <v>10.678329828560633</v>
      </c>
      <c r="O21" s="11"/>
      <c r="P21" s="14">
        <f>Coordinates!AG21</f>
        <v>16.977668103600728</v>
      </c>
      <c r="Q21" s="14">
        <f t="shared" si="8"/>
        <v>3.7667308119175282</v>
      </c>
      <c r="R21" s="14">
        <f>(((TAN(RADIANS(Coordinates!AH21)))*3)*2)+D21</f>
        <v>4.3084814080940719</v>
      </c>
      <c r="S21" s="11">
        <v>50</v>
      </c>
      <c r="T21" s="11">
        <v>10</v>
      </c>
      <c r="U21" s="11">
        <v>2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2"/>
    </row>
    <row r="22" spans="1:55" ht="15" customHeight="1" x14ac:dyDescent="0.45">
      <c r="A22" s="13">
        <v>20</v>
      </c>
      <c r="B22" s="11">
        <f>Coordinates!E22</f>
        <v>263.34405499932973</v>
      </c>
      <c r="C22" s="14">
        <f t="shared" si="0"/>
        <v>79.010720545979495</v>
      </c>
      <c r="D22" s="14">
        <v>2.2999999999999998</v>
      </c>
      <c r="E22" s="11">
        <v>0</v>
      </c>
      <c r="F22" s="11">
        <f t="shared" si="1"/>
        <v>1</v>
      </c>
      <c r="G22" s="11">
        <f t="shared" si="2"/>
        <v>5.2680340690836297E-4</v>
      </c>
      <c r="H22" s="11"/>
      <c r="I22" s="11">
        <f>Values!T22</f>
        <v>2</v>
      </c>
      <c r="J22" s="11">
        <f t="shared" si="3"/>
        <v>78.210720545979498</v>
      </c>
      <c r="K22" s="11">
        <f t="shared" si="4"/>
        <v>2.4177299888311619</v>
      </c>
      <c r="L22" s="11">
        <f t="shared" si="5"/>
        <v>2</v>
      </c>
      <c r="M22" s="11">
        <f t="shared" si="6"/>
        <v>10.476064538277072</v>
      </c>
      <c r="N22" s="11">
        <f t="shared" si="7"/>
        <v>10.665267376402076</v>
      </c>
      <c r="O22" s="11"/>
      <c r="P22" s="14">
        <f>Coordinates!AG22</f>
        <v>16.796847853239179</v>
      </c>
      <c r="Q22" s="14">
        <f t="shared" si="8"/>
        <v>3.8097412422589687</v>
      </c>
      <c r="R22" s="14">
        <f>(((TAN(RADIANS(Coordinates!AH22)))*3)*2)+D22</f>
        <v>4.2858064692460767</v>
      </c>
      <c r="S22" s="11">
        <v>50</v>
      </c>
      <c r="T22" s="11">
        <v>10</v>
      </c>
      <c r="U22" s="11">
        <v>2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2"/>
    </row>
    <row r="23" spans="1:55" ht="15" customHeight="1" x14ac:dyDescent="0.45">
      <c r="A23" s="13">
        <v>21</v>
      </c>
      <c r="B23" s="11">
        <f>Coordinates!E23</f>
        <v>286.75943484633177</v>
      </c>
      <c r="C23" s="14">
        <f t="shared" si="0"/>
        <v>86.638243895697059</v>
      </c>
      <c r="D23" s="14">
        <v>2.2999999999999998</v>
      </c>
      <c r="E23" s="11">
        <v>0</v>
      </c>
      <c r="F23" s="11">
        <f t="shared" si="1"/>
        <v>1</v>
      </c>
      <c r="G23" s="11">
        <f t="shared" si="2"/>
        <v>4.405669570944151E-4</v>
      </c>
      <c r="H23" s="11"/>
      <c r="I23" s="11">
        <f>Values!T23</f>
        <v>2</v>
      </c>
      <c r="J23" s="11">
        <f t="shared" si="3"/>
        <v>85.838243895697062</v>
      </c>
      <c r="K23" s="11">
        <f t="shared" si="4"/>
        <v>2.407596303771276</v>
      </c>
      <c r="L23" s="11">
        <f t="shared" si="5"/>
        <v>2</v>
      </c>
      <c r="M23" s="11">
        <f t="shared" si="6"/>
        <v>10.376374574932166</v>
      </c>
      <c r="N23" s="11">
        <f t="shared" si="7"/>
        <v>10.567362458026066</v>
      </c>
      <c r="O23" s="11"/>
      <c r="P23" s="14">
        <f>Coordinates!AG23</f>
        <v>15.39130289794884</v>
      </c>
      <c r="Q23" s="14">
        <f t="shared" si="8"/>
        <v>4.1775253870042608</v>
      </c>
      <c r="R23" s="14">
        <f>(((TAN(RADIANS(Coordinates!AH23)))*3)*2)+D23</f>
        <v>4.1109785349399557</v>
      </c>
      <c r="S23" s="11">
        <v>50</v>
      </c>
      <c r="T23" s="11">
        <v>10</v>
      </c>
      <c r="U23" s="11">
        <v>2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2"/>
    </row>
    <row r="24" spans="1:55" ht="15" customHeight="1" x14ac:dyDescent="0.45">
      <c r="A24" s="13">
        <v>22</v>
      </c>
      <c r="B24" s="11">
        <f>Coordinates!E24</f>
        <v>266.55164748020223</v>
      </c>
      <c r="C24" s="14">
        <f t="shared" si="0"/>
        <v>80.058832079886542</v>
      </c>
      <c r="D24" s="14">
        <v>2.2999999999999998</v>
      </c>
      <c r="E24" s="11">
        <v>0</v>
      </c>
      <c r="F24" s="11">
        <f t="shared" si="1"/>
        <v>1</v>
      </c>
      <c r="G24" s="11">
        <f t="shared" si="2"/>
        <v>5.1356130418304632E-4</v>
      </c>
      <c r="H24" s="11"/>
      <c r="I24" s="11">
        <f>Values!T24</f>
        <v>2</v>
      </c>
      <c r="J24" s="11">
        <f t="shared" si="3"/>
        <v>79.258832079886545</v>
      </c>
      <c r="K24" s="11">
        <f t="shared" si="4"/>
        <v>2.4162257535727254</v>
      </c>
      <c r="L24" s="11">
        <f t="shared" si="5"/>
        <v>2</v>
      </c>
      <c r="M24" s="11">
        <f t="shared" si="6"/>
        <v>10.460921617437442</v>
      </c>
      <c r="N24" s="11">
        <f t="shared" si="7"/>
        <v>10.650393470955427</v>
      </c>
      <c r="O24" s="11"/>
      <c r="P24" s="14">
        <f>Coordinates!AG24</f>
        <v>16.589105694845713</v>
      </c>
      <c r="Q24" s="14">
        <f t="shared" si="8"/>
        <v>3.860279114963082</v>
      </c>
      <c r="R24" s="14">
        <f>(((TAN(RADIANS(Coordinates!AH24)))*3)*2)+D24</f>
        <v>4.2598087546847747</v>
      </c>
      <c r="S24" s="11">
        <v>50</v>
      </c>
      <c r="T24" s="11">
        <v>10</v>
      </c>
      <c r="U24" s="11">
        <v>2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2"/>
    </row>
    <row r="25" spans="1:55" ht="15" customHeight="1" x14ac:dyDescent="0.45">
      <c r="A25" s="13">
        <v>23</v>
      </c>
      <c r="B25" s="11">
        <f>Coordinates!E25</f>
        <v>244.59377981207945</v>
      </c>
      <c r="C25" s="14">
        <f t="shared" si="0"/>
        <v>72.859398120776603</v>
      </c>
      <c r="D25" s="14">
        <v>2.2999999999999998</v>
      </c>
      <c r="E25" s="11">
        <v>0</v>
      </c>
      <c r="F25" s="11">
        <f t="shared" si="1"/>
        <v>1</v>
      </c>
      <c r="G25" s="11">
        <f t="shared" si="2"/>
        <v>6.1556631230405806E-4</v>
      </c>
      <c r="H25" s="11"/>
      <c r="I25" s="11">
        <f>Values!T25</f>
        <v>2</v>
      </c>
      <c r="J25" s="11">
        <f t="shared" si="3"/>
        <v>72.059398120776606</v>
      </c>
      <c r="K25" s="11">
        <f t="shared" si="4"/>
        <v>2.4274082407943842</v>
      </c>
      <c r="L25" s="11">
        <f t="shared" si="5"/>
        <v>2</v>
      </c>
      <c r="M25" s="11">
        <f t="shared" si="6"/>
        <v>10.576376967912937</v>
      </c>
      <c r="N25" s="11">
        <f t="shared" si="7"/>
        <v>10.763816691462154</v>
      </c>
      <c r="O25" s="11"/>
      <c r="P25" s="14">
        <f>Coordinates!AG25</f>
        <v>18.125487059652173</v>
      </c>
      <c r="Q25" s="14">
        <f t="shared" si="8"/>
        <v>3.5131365970185779</v>
      </c>
      <c r="R25" s="14">
        <f>(((TAN(RADIANS(Coordinates!AH25)))*3)*2)+D25</f>
        <v>4.4534627521889778</v>
      </c>
      <c r="S25" s="11">
        <v>50</v>
      </c>
      <c r="T25" s="11">
        <v>10</v>
      </c>
      <c r="U25" s="11">
        <v>2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2"/>
    </row>
    <row r="26" spans="1:55" ht="15" customHeight="1" x14ac:dyDescent="0.45">
      <c r="A26" s="13">
        <v>24</v>
      </c>
      <c r="B26" s="11">
        <f>Coordinates!E26</f>
        <v>222.93602778149162</v>
      </c>
      <c r="C26" s="14">
        <f t="shared" si="0"/>
        <v>65.690836749438887</v>
      </c>
      <c r="D26" s="14">
        <v>2.2999999999999998</v>
      </c>
      <c r="E26" s="11">
        <v>0</v>
      </c>
      <c r="F26" s="11">
        <f t="shared" si="1"/>
        <v>1</v>
      </c>
      <c r="G26" s="11">
        <f t="shared" si="2"/>
        <v>7.4924317615375003E-4</v>
      </c>
      <c r="H26" s="11"/>
      <c r="I26" s="11">
        <f>Values!T26</f>
        <v>2</v>
      </c>
      <c r="J26" s="11">
        <f t="shared" si="3"/>
        <v>64.89083674943889</v>
      </c>
      <c r="K26" s="11">
        <f t="shared" si="4"/>
        <v>2.4409093341456987</v>
      </c>
      <c r="L26" s="11">
        <f t="shared" si="5"/>
        <v>2</v>
      </c>
      <c r="M26" s="11">
        <f t="shared" si="6"/>
        <v>10.724661803379634</v>
      </c>
      <c r="N26" s="11">
        <f t="shared" si="7"/>
        <v>10.909554106235053</v>
      </c>
      <c r="O26" s="11"/>
      <c r="P26" s="14">
        <f>Coordinates!AG26</f>
        <v>19.95415412646101</v>
      </c>
      <c r="Q26" s="14">
        <f t="shared" si="8"/>
        <v>3.1674826944173882</v>
      </c>
      <c r="R26" s="14">
        <f>(((TAN(RADIANS(Coordinates!AH26)))*3)*2)+D26</f>
        <v>4.6884609751350164</v>
      </c>
      <c r="S26" s="11">
        <v>50</v>
      </c>
      <c r="T26" s="11">
        <v>10</v>
      </c>
      <c r="U26" s="11">
        <v>2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2"/>
    </row>
    <row r="27" spans="1:55" ht="15" customHeight="1" x14ac:dyDescent="0.45">
      <c r="A27" s="13">
        <v>25</v>
      </c>
      <c r="B27" s="11">
        <f>Coordinates!E27</f>
        <v>203.55585398123534</v>
      </c>
      <c r="C27" s="14">
        <f t="shared" si="0"/>
        <v>59.199305669602019</v>
      </c>
      <c r="D27" s="14">
        <v>2.2999999999999998</v>
      </c>
      <c r="E27" s="11">
        <v>0</v>
      </c>
      <c r="F27" s="11">
        <f t="shared" si="1"/>
        <v>1</v>
      </c>
      <c r="G27" s="11">
        <f t="shared" si="2"/>
        <v>9.0975240754154099E-4</v>
      </c>
      <c r="H27" s="11"/>
      <c r="I27" s="11">
        <f>Values!T27</f>
        <v>2</v>
      </c>
      <c r="J27" s="11">
        <f t="shared" si="3"/>
        <v>58.399305669602022</v>
      </c>
      <c r="K27" s="11">
        <f t="shared" si="4"/>
        <v>2.4558689863412209</v>
      </c>
      <c r="L27" s="11">
        <f t="shared" si="5"/>
        <v>2</v>
      </c>
      <c r="M27" s="11">
        <f t="shared" si="6"/>
        <v>10.900334730090858</v>
      </c>
      <c r="N27" s="11">
        <f t="shared" si="7"/>
        <v>11.082296568312225</v>
      </c>
      <c r="O27" s="11"/>
      <c r="P27" s="14">
        <f>Coordinates!AG27</f>
        <v>21.94333957056234</v>
      </c>
      <c r="Q27" s="14">
        <f t="shared" si="8"/>
        <v>2.854473858282697</v>
      </c>
      <c r="R27" s="14">
        <f>(((TAN(RADIANS(Coordinates!AH27)))*3)*2)+D27</f>
        <v>4.9503689228329222</v>
      </c>
      <c r="S27" s="11">
        <v>50</v>
      </c>
      <c r="T27" s="11">
        <v>10</v>
      </c>
      <c r="U27" s="11">
        <v>2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2"/>
    </row>
    <row r="28" spans="1:55" ht="15" customHeight="1" x14ac:dyDescent="0.45">
      <c r="A28" s="13">
        <v>26</v>
      </c>
      <c r="B28" s="11">
        <f>Coordinates!E28</f>
        <v>188.15016849169598</v>
      </c>
      <c r="C28" s="14">
        <f t="shared" si="0"/>
        <v>53.969214753514009</v>
      </c>
      <c r="D28" s="14">
        <v>2.2999999999999998</v>
      </c>
      <c r="E28" s="11">
        <v>0</v>
      </c>
      <c r="F28" s="11">
        <f t="shared" si="1"/>
        <v>1</v>
      </c>
      <c r="G28" s="11">
        <f t="shared" si="2"/>
        <v>1.07751526464636E-3</v>
      </c>
      <c r="H28" s="11"/>
      <c r="I28" s="11">
        <f>Values!T28</f>
        <v>2</v>
      </c>
      <c r="J28" s="11">
        <f t="shared" si="3"/>
        <v>53.169214753514012</v>
      </c>
      <c r="K28" s="11">
        <f t="shared" si="4"/>
        <v>2.4704514222908984</v>
      </c>
      <c r="L28" s="11">
        <f t="shared" si="5"/>
        <v>2</v>
      </c>
      <c r="M28" s="11">
        <f t="shared" si="6"/>
        <v>11.08306239833475</v>
      </c>
      <c r="N28" s="11">
        <f t="shared" si="7"/>
        <v>11.26207228379314</v>
      </c>
      <c r="O28" s="11"/>
      <c r="P28" s="14">
        <f>Coordinates!AG28</f>
        <v>23.841527065897314</v>
      </c>
      <c r="Q28" s="14">
        <f t="shared" si="8"/>
        <v>2.6022891809870488</v>
      </c>
      <c r="R28" s="14">
        <f>(((TAN(RADIANS(Coordinates!AH28)))*3)*2)+D28</f>
        <v>5.2072129493932282</v>
      </c>
      <c r="S28" s="11">
        <v>50</v>
      </c>
      <c r="T28" s="11">
        <v>10</v>
      </c>
      <c r="U28" s="11">
        <v>2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2"/>
    </row>
    <row r="29" spans="1:55" ht="15" customHeight="1" x14ac:dyDescent="0.45">
      <c r="A29" s="13">
        <v>27</v>
      </c>
      <c r="B29" s="11">
        <f>Coordinates!E29</f>
        <v>178.04790194316686</v>
      </c>
      <c r="C29" s="14">
        <f t="shared" si="0"/>
        <v>50.495913662547991</v>
      </c>
      <c r="D29" s="14">
        <v>2.2999999999999998</v>
      </c>
      <c r="E29" s="11">
        <v>0</v>
      </c>
      <c r="F29" s="11">
        <f t="shared" si="1"/>
        <v>1</v>
      </c>
      <c r="G29" s="11">
        <f t="shared" si="2"/>
        <v>1.214285365701029E-3</v>
      </c>
      <c r="H29" s="11"/>
      <c r="I29" s="11">
        <f>Values!T29</f>
        <v>2</v>
      </c>
      <c r="J29" s="11">
        <f t="shared" si="3"/>
        <v>49.695913662547994</v>
      </c>
      <c r="K29" s="11">
        <f t="shared" si="4"/>
        <v>2.4817454384505773</v>
      </c>
      <c r="L29" s="11">
        <f t="shared" si="5"/>
        <v>2</v>
      </c>
      <c r="M29" s="11">
        <f t="shared" si="6"/>
        <v>11.2323459608227</v>
      </c>
      <c r="N29" s="11">
        <f t="shared" si="7"/>
        <v>11.409013795399234</v>
      </c>
      <c r="O29" s="11"/>
      <c r="P29" s="14">
        <f>Coordinates!AG29</f>
        <v>25.282089515464484</v>
      </c>
      <c r="Q29" s="14">
        <f t="shared" si="8"/>
        <v>2.4348134470410976</v>
      </c>
      <c r="R29" s="14">
        <f>(((TAN(RADIANS(Coordinates!AH29)))*3)*2)+D29</f>
        <v>5.4071821187061762</v>
      </c>
      <c r="S29" s="11">
        <v>50</v>
      </c>
      <c r="T29" s="11">
        <v>10</v>
      </c>
      <c r="U29" s="11">
        <v>2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2"/>
    </row>
    <row r="30" spans="1:55" ht="15" customHeight="1" x14ac:dyDescent="0.45">
      <c r="A30" s="13">
        <v>28</v>
      </c>
      <c r="B30" s="11">
        <f>Coordinates!E30</f>
        <v>174.15253773362016</v>
      </c>
      <c r="C30" s="14">
        <f t="shared" si="0"/>
        <v>49.145501948456534</v>
      </c>
      <c r="D30" s="14">
        <v>2.2999999999999998</v>
      </c>
      <c r="E30" s="11">
        <v>0</v>
      </c>
      <c r="F30" s="11">
        <f t="shared" si="1"/>
        <v>1</v>
      </c>
      <c r="G30" s="11">
        <f t="shared" si="2"/>
        <v>1.2741350325815052E-3</v>
      </c>
      <c r="H30" s="11"/>
      <c r="I30" s="11">
        <f>Values!T30</f>
        <v>2</v>
      </c>
      <c r="J30" s="11">
        <f t="shared" si="3"/>
        <v>48.345501948456537</v>
      </c>
      <c r="K30" s="11">
        <f t="shared" si="4"/>
        <v>2.486551892720013</v>
      </c>
      <c r="L30" s="11">
        <f t="shared" si="5"/>
        <v>2</v>
      </c>
      <c r="M30" s="11">
        <f t="shared" si="6"/>
        <v>11.297924351133304</v>
      </c>
      <c r="N30" s="11">
        <f t="shared" si="7"/>
        <v>11.47358246773565</v>
      </c>
      <c r="O30" s="11"/>
      <c r="P30" s="14">
        <f>Coordinates!AG30</f>
        <v>25.887004559146479</v>
      </c>
      <c r="Q30" s="14">
        <f t="shared" si="8"/>
        <v>2.3696992553763105</v>
      </c>
      <c r="R30" s="14">
        <f>(((TAN(RADIANS(Coordinates!AH30)))*3)*2)+D30</f>
        <v>5.4925607386115551</v>
      </c>
      <c r="S30" s="11">
        <v>50</v>
      </c>
      <c r="T30" s="11">
        <v>10</v>
      </c>
      <c r="U30" s="11">
        <v>2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2"/>
    </row>
    <row r="31" spans="1:55" ht="15" customHeight="1" x14ac:dyDescent="0.45">
      <c r="A31" s="13">
        <v>29</v>
      </c>
      <c r="B31" s="11">
        <f>Coordinates!E31</f>
        <v>176.80952309460031</v>
      </c>
      <c r="C31" s="14">
        <f t="shared" si="0"/>
        <v>50.067327093521619</v>
      </c>
      <c r="D31" s="14">
        <v>2.2999999999999998</v>
      </c>
      <c r="E31" s="11">
        <v>0</v>
      </c>
      <c r="F31" s="11">
        <f t="shared" si="1"/>
        <v>1</v>
      </c>
      <c r="G31" s="11">
        <f t="shared" si="2"/>
        <v>1.2328420261322936E-3</v>
      </c>
      <c r="H31" s="11"/>
      <c r="I31" s="11">
        <f>Values!T31</f>
        <v>2</v>
      </c>
      <c r="J31" s="11">
        <f t="shared" si="3"/>
        <v>49.267327093521622</v>
      </c>
      <c r="K31" s="11">
        <f t="shared" si="4"/>
        <v>2.48324379720933</v>
      </c>
      <c r="L31" s="11">
        <f t="shared" si="5"/>
        <v>2</v>
      </c>
      <c r="M31" s="11">
        <f t="shared" si="6"/>
        <v>11.2526584434531</v>
      </c>
      <c r="N31" s="11">
        <f t="shared" si="7"/>
        <v>11.429012295251779</v>
      </c>
      <c r="O31" s="11"/>
      <c r="P31" s="14">
        <f>Coordinates!AG31</f>
        <v>25.471195066208868</v>
      </c>
      <c r="Q31" s="14">
        <f t="shared" si="8"/>
        <v>2.4141478472767237</v>
      </c>
      <c r="R31" s="14">
        <f>(((TAN(RADIANS(Coordinates!AH31)))*3)*2)+D31</f>
        <v>5.4337802337025858</v>
      </c>
      <c r="S31" s="11">
        <v>50</v>
      </c>
      <c r="T31" s="11">
        <v>10</v>
      </c>
      <c r="U31" s="11">
        <v>2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2"/>
    </row>
    <row r="32" spans="1:55" ht="15" customHeight="1" x14ac:dyDescent="0.45">
      <c r="A32" s="13">
        <v>30</v>
      </c>
      <c r="B32" s="11">
        <f>Coordinates!E32</f>
        <v>184.97943740708044</v>
      </c>
      <c r="C32" s="14">
        <f t="shared" si="0"/>
        <v>52.883243871265748</v>
      </c>
      <c r="D32" s="14">
        <v>2.2999999999999998</v>
      </c>
      <c r="E32" s="11">
        <v>0</v>
      </c>
      <c r="F32" s="11">
        <f t="shared" si="1"/>
        <v>1</v>
      </c>
      <c r="G32" s="11">
        <f t="shared" si="2"/>
        <v>1.1178211688294367E-3</v>
      </c>
      <c r="H32" s="11"/>
      <c r="I32" s="11">
        <f>Values!T32</f>
        <v>2</v>
      </c>
      <c r="J32" s="11">
        <f t="shared" si="3"/>
        <v>52.083243871265751</v>
      </c>
      <c r="K32" s="11">
        <f t="shared" si="4"/>
        <v>2.4738286250818207</v>
      </c>
      <c r="L32" s="11">
        <f t="shared" si="5"/>
        <v>2</v>
      </c>
      <c r="M32" s="11">
        <f t="shared" si="6"/>
        <v>11.126993480534434</v>
      </c>
      <c r="N32" s="11">
        <f t="shared" si="7"/>
        <v>11.305307776255178</v>
      </c>
      <c r="O32" s="11"/>
      <c r="P32" s="14">
        <f>Coordinates!AG32</f>
        <v>24.275065905065002</v>
      </c>
      <c r="Q32" s="14">
        <f t="shared" si="8"/>
        <v>2.5499258051134426</v>
      </c>
      <c r="R32" s="14">
        <f>(((TAN(RADIANS(Coordinates!AH32)))*3)*2)+D32</f>
        <v>5.2669133077755852</v>
      </c>
      <c r="S32" s="11">
        <v>50</v>
      </c>
      <c r="T32" s="11">
        <v>10</v>
      </c>
      <c r="U32" s="11">
        <v>2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2"/>
    </row>
    <row r="33" spans="1:55" ht="15" customHeight="1" x14ac:dyDescent="0.45">
      <c r="A33" s="13">
        <v>31</v>
      </c>
      <c r="B33" s="11">
        <f>Coordinates!E33</f>
        <v>196.92259709347326</v>
      </c>
      <c r="C33" s="14">
        <f t="shared" si="0"/>
        <v>56.956125596086267</v>
      </c>
      <c r="D33" s="14">
        <v>2.2999999999999998</v>
      </c>
      <c r="E33" s="11">
        <v>0</v>
      </c>
      <c r="F33" s="11">
        <f t="shared" si="1"/>
        <v>1</v>
      </c>
      <c r="G33" s="11">
        <f t="shared" si="2"/>
        <v>9.767793939646891E-4</v>
      </c>
      <c r="H33" s="11"/>
      <c r="I33" s="11">
        <f>Values!T33</f>
        <v>2</v>
      </c>
      <c r="J33" s="11">
        <f t="shared" si="3"/>
        <v>56.15612559608627</v>
      </c>
      <c r="K33" s="11">
        <f t="shared" si="4"/>
        <v>2.4618058009582962</v>
      </c>
      <c r="L33" s="11">
        <f t="shared" si="5"/>
        <v>2</v>
      </c>
      <c r="M33" s="11">
        <f t="shared" si="6"/>
        <v>10.973360735407661</v>
      </c>
      <c r="N33" s="11">
        <f t="shared" si="7"/>
        <v>11.154131334594666</v>
      </c>
      <c r="O33" s="11"/>
      <c r="P33" s="14">
        <f>Coordinates!AG33</f>
        <v>22.721174976714224</v>
      </c>
      <c r="Q33" s="14">
        <f t="shared" si="8"/>
        <v>2.7463121356603439</v>
      </c>
      <c r="R33" s="14">
        <f>(((TAN(RADIANS(Coordinates!AH33)))*3)*2)+D33</f>
        <v>5.0547519842322517</v>
      </c>
      <c r="S33" s="11">
        <v>50</v>
      </c>
      <c r="T33" s="11">
        <v>10</v>
      </c>
      <c r="U33" s="11">
        <v>2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2"/>
    </row>
    <row r="34" spans="1:55" ht="15" customHeight="1" x14ac:dyDescent="0.45">
      <c r="A34" s="13">
        <v>32</v>
      </c>
      <c r="B34" s="11">
        <f>Coordinates!E34</f>
        <v>210.52314925384712</v>
      </c>
      <c r="C34" s="14">
        <f t="shared" si="0"/>
        <v>61.542946761910066</v>
      </c>
      <c r="D34" s="14">
        <v>2.2999999999999998</v>
      </c>
      <c r="E34" s="11">
        <v>0</v>
      </c>
      <c r="F34" s="11">
        <f t="shared" si="1"/>
        <v>1</v>
      </c>
      <c r="G34" s="11">
        <f t="shared" si="2"/>
        <v>8.465511507114228E-4</v>
      </c>
      <c r="H34" s="11"/>
      <c r="I34" s="11">
        <f>Values!T34</f>
        <v>2</v>
      </c>
      <c r="J34" s="11">
        <f t="shared" si="3"/>
        <v>60.742946761910069</v>
      </c>
      <c r="K34" s="11">
        <f t="shared" si="4"/>
        <v>2.4501149010783139</v>
      </c>
      <c r="L34" s="11">
        <f t="shared" si="5"/>
        <v>2</v>
      </c>
      <c r="M34" s="11">
        <f t="shared" si="6"/>
        <v>10.831349992148498</v>
      </c>
      <c r="N34" s="11">
        <f t="shared" si="7"/>
        <v>11.014451536613853</v>
      </c>
      <c r="O34" s="11"/>
      <c r="P34" s="14">
        <f>Coordinates!AG34</f>
        <v>21.183055896282543</v>
      </c>
      <c r="Q34" s="14">
        <f t="shared" si="8"/>
        <v>2.9674796132577179</v>
      </c>
      <c r="R34" s="14">
        <f>(((TAN(RADIANS(Coordinates!AH34)))*3)*2)+D34</f>
        <v>4.8494391844283271</v>
      </c>
      <c r="S34" s="11">
        <v>50</v>
      </c>
      <c r="T34" s="11">
        <v>10</v>
      </c>
      <c r="U34" s="11">
        <v>2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2"/>
    </row>
    <row r="35" spans="1:55" ht="15" customHeight="1" x14ac:dyDescent="0.45">
      <c r="A35" s="13">
        <v>33</v>
      </c>
      <c r="B35" s="11">
        <f>Coordinates!E35</f>
        <v>223.56840359239965</v>
      </c>
      <c r="C35" s="14">
        <f t="shared" ref="C35:C66" si="9">((S35/2)/(TAN(RADIANS(P35))))-Q35</f>
        <v>65.901303456159482</v>
      </c>
      <c r="D35" s="14">
        <v>2.2999999999999998</v>
      </c>
      <c r="E35" s="11">
        <v>0</v>
      </c>
      <c r="F35" s="11">
        <f t="shared" ref="F35:F66" si="10">COS(E35)^3</f>
        <v>1</v>
      </c>
      <c r="G35" s="11">
        <f t="shared" ref="G35:G66" si="11">100*(K35*K35*F35/(16*B35*B35))</f>
        <v>7.4474383969174189E-4</v>
      </c>
      <c r="H35" s="11"/>
      <c r="I35" s="11">
        <f>Values!T35</f>
        <v>2</v>
      </c>
      <c r="J35" s="11">
        <f t="shared" ref="J35:J66" si="12">C35-0.8</f>
        <v>65.101303456159485</v>
      </c>
      <c r="K35" s="11">
        <f t="shared" ref="K35:K66" si="13">SQRT(D35*(D35+((2*TAN(RADIANS(P35)))/2.5)))</f>
        <v>2.440472267108905</v>
      </c>
      <c r="L35" s="11">
        <f t="shared" ref="L35:L66" si="14">I35</f>
        <v>2</v>
      </c>
      <c r="M35" s="11">
        <f t="shared" ref="M35:M66" si="15">K35*(B35+C35)/C35</f>
        <v>10.719708946122822</v>
      </c>
      <c r="N35" s="11">
        <f t="shared" ref="N35:N66" si="16">SQRT(L35*L35+M35*M35)</f>
        <v>10.904685226524682</v>
      </c>
      <c r="O35" s="11"/>
      <c r="P35" s="14">
        <f>Coordinates!AG35</f>
        <v>19.895434765994505</v>
      </c>
      <c r="Q35" s="14">
        <f t="shared" ref="Q35:Q66" si="17">(D35/2)/(TAN(RADIANS(P35)))</f>
        <v>3.1776309842592623</v>
      </c>
      <c r="R35" s="14">
        <f>(((TAN(RADIANS(Coordinates!AH35)))*3)*2)+D35</f>
        <v>4.680833030174842</v>
      </c>
      <c r="S35" s="11">
        <v>50</v>
      </c>
      <c r="T35" s="11">
        <v>10</v>
      </c>
      <c r="U35" s="11">
        <v>2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2"/>
    </row>
    <row r="36" spans="1:55" ht="15" customHeight="1" x14ac:dyDescent="0.45">
      <c r="A36" s="13">
        <v>34</v>
      </c>
      <c r="B36" s="11">
        <f>Coordinates!E36</f>
        <v>234.28256249360516</v>
      </c>
      <c r="C36" s="14">
        <f t="shared" si="9"/>
        <v>69.456101956631855</v>
      </c>
      <c r="D36" s="14">
        <v>2.2999999999999998</v>
      </c>
      <c r="E36" s="11">
        <v>0</v>
      </c>
      <c r="F36" s="11">
        <f t="shared" si="10"/>
        <v>1</v>
      </c>
      <c r="G36" s="11">
        <f t="shared" si="11"/>
        <v>6.743037083377344E-4</v>
      </c>
      <c r="H36" s="11"/>
      <c r="I36" s="11">
        <f>Values!T36</f>
        <v>2</v>
      </c>
      <c r="J36" s="11">
        <f t="shared" si="12"/>
        <v>68.656101956631858</v>
      </c>
      <c r="K36" s="11">
        <f t="shared" si="13"/>
        <v>2.4334797177982841</v>
      </c>
      <c r="L36" s="11">
        <f t="shared" si="14"/>
        <v>2</v>
      </c>
      <c r="M36" s="11">
        <f t="shared" si="15"/>
        <v>10.641856635034141</v>
      </c>
      <c r="N36" s="11">
        <f t="shared" si="16"/>
        <v>10.828162939327251</v>
      </c>
      <c r="O36" s="11"/>
      <c r="P36" s="14">
        <f>Coordinates!AG36</f>
        <v>18.951567307799735</v>
      </c>
      <c r="Q36" s="14">
        <f t="shared" si="17"/>
        <v>3.3490363626887478</v>
      </c>
      <c r="R36" s="14">
        <f>(((TAN(RADIANS(Coordinates!AH36)))*3)*2)+D36</f>
        <v>4.5589807890164611</v>
      </c>
      <c r="S36" s="11">
        <v>50</v>
      </c>
      <c r="T36" s="11">
        <v>10</v>
      </c>
      <c r="U36" s="11">
        <v>2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2"/>
    </row>
    <row r="37" spans="1:55" ht="15" customHeight="1" x14ac:dyDescent="0.45">
      <c r="A37" s="13">
        <v>35</v>
      </c>
      <c r="B37" s="11">
        <f>Coordinates!E37</f>
        <v>241.82662937679132</v>
      </c>
      <c r="C37" s="14">
        <f t="shared" si="9"/>
        <v>71.947650441269602</v>
      </c>
      <c r="D37" s="14">
        <v>2.2999999999999998</v>
      </c>
      <c r="E37" s="11">
        <v>0</v>
      </c>
      <c r="F37" s="11">
        <f t="shared" si="10"/>
        <v>1</v>
      </c>
      <c r="G37" s="11">
        <f t="shared" si="11"/>
        <v>6.3055013498598508E-4</v>
      </c>
      <c r="H37" s="11"/>
      <c r="I37" s="11">
        <f>Values!T37</f>
        <v>2</v>
      </c>
      <c r="J37" s="11">
        <f t="shared" si="12"/>
        <v>71.147650441269604</v>
      </c>
      <c r="K37" s="11">
        <f t="shared" si="13"/>
        <v>2.4289799249885711</v>
      </c>
      <c r="L37" s="11">
        <f t="shared" si="14"/>
        <v>2</v>
      </c>
      <c r="M37" s="11">
        <f t="shared" si="15"/>
        <v>10.593138510867089</v>
      </c>
      <c r="N37" s="11">
        <f t="shared" si="16"/>
        <v>10.780286800935095</v>
      </c>
      <c r="O37" s="11"/>
      <c r="P37" s="14">
        <f>Coordinates!AG37</f>
        <v>18.339895251350097</v>
      </c>
      <c r="Q37" s="14">
        <f t="shared" si="17"/>
        <v>3.4691739206482195</v>
      </c>
      <c r="R37" s="14">
        <f>(((TAN(RADIANS(Coordinates!AH37)))*3)*2)+D37</f>
        <v>4.4807522419106158</v>
      </c>
      <c r="S37" s="11">
        <v>50</v>
      </c>
      <c r="T37" s="11">
        <v>10</v>
      </c>
      <c r="U37" s="11">
        <v>2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2"/>
    </row>
    <row r="38" spans="1:55" ht="15" customHeight="1" x14ac:dyDescent="0.45">
      <c r="A38" s="13">
        <v>36</v>
      </c>
      <c r="B38" s="11">
        <f>Coordinates!E38</f>
        <v>246.35822476241788</v>
      </c>
      <c r="C38" s="14">
        <f t="shared" si="9"/>
        <v>73.440195299021383</v>
      </c>
      <c r="D38" s="14">
        <v>2.2999999999999998</v>
      </c>
      <c r="E38" s="11">
        <v>0</v>
      </c>
      <c r="F38" s="11">
        <f t="shared" si="10"/>
        <v>1</v>
      </c>
      <c r="G38" s="11">
        <f t="shared" si="11"/>
        <v>6.0628985925595868E-4</v>
      </c>
      <c r="H38" s="11"/>
      <c r="I38" s="11">
        <f>Values!T38</f>
        <v>2</v>
      </c>
      <c r="J38" s="11">
        <f t="shared" si="12"/>
        <v>72.640195299021386</v>
      </c>
      <c r="K38" s="11">
        <f t="shared" si="13"/>
        <v>2.4264268854737252</v>
      </c>
      <c r="L38" s="11">
        <f t="shared" si="14"/>
        <v>2</v>
      </c>
      <c r="M38" s="11">
        <f t="shared" si="15"/>
        <v>10.565977952668057</v>
      </c>
      <c r="N38" s="11">
        <f t="shared" si="16"/>
        <v>10.753598936926533</v>
      </c>
      <c r="O38" s="11"/>
      <c r="P38" s="14">
        <f>Coordinates!AG38</f>
        <v>17.991414441498584</v>
      </c>
      <c r="Q38" s="14">
        <f t="shared" si="17"/>
        <v>3.541141492405643</v>
      </c>
      <c r="R38" s="14">
        <f>(((TAN(RADIANS(Coordinates!AH38)))*3)*2)+D38</f>
        <v>4.4364322270816556</v>
      </c>
      <c r="S38" s="11">
        <v>50</v>
      </c>
      <c r="T38" s="11">
        <v>10</v>
      </c>
      <c r="U38" s="11">
        <v>2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2"/>
    </row>
    <row r="39" spans="1:55" ht="15" customHeight="1" x14ac:dyDescent="0.45">
      <c r="A39" s="13">
        <v>37</v>
      </c>
      <c r="B39" s="11">
        <f>Coordinates!E39</f>
        <v>248.77461428538084</v>
      </c>
      <c r="C39" s="14">
        <f t="shared" si="9"/>
        <v>74.23489395049215</v>
      </c>
      <c r="D39" s="14">
        <v>2.2999999999999998</v>
      </c>
      <c r="E39" s="11">
        <v>0</v>
      </c>
      <c r="F39" s="11">
        <f t="shared" si="10"/>
        <v>1</v>
      </c>
      <c r="G39" s="11">
        <f t="shared" si="11"/>
        <v>5.9392306683049394E-4</v>
      </c>
      <c r="H39" s="11"/>
      <c r="I39" s="11">
        <f>Values!T39</f>
        <v>2</v>
      </c>
      <c r="J39" s="11">
        <f t="shared" si="12"/>
        <v>73.434893950492153</v>
      </c>
      <c r="K39" s="11">
        <f t="shared" si="13"/>
        <v>2.4251083628808252</v>
      </c>
      <c r="L39" s="11">
        <f t="shared" si="14"/>
        <v>2</v>
      </c>
      <c r="M39" s="11">
        <f t="shared" si="15"/>
        <v>10.552087004195755</v>
      </c>
      <c r="N39" s="11">
        <f t="shared" si="16"/>
        <v>10.7399506583651</v>
      </c>
      <c r="O39" s="11"/>
      <c r="P39" s="14">
        <f>Coordinates!AG39</f>
        <v>17.811042554571952</v>
      </c>
      <c r="Q39" s="14">
        <f t="shared" si="17"/>
        <v>3.5794602953067489</v>
      </c>
      <c r="R39" s="14">
        <f>(((TAN(RADIANS(Coordinates!AH39)))*3)*2)+D39</f>
        <v>4.413561313964264</v>
      </c>
      <c r="S39" s="11">
        <v>50</v>
      </c>
      <c r="T39" s="11">
        <v>10</v>
      </c>
      <c r="U39" s="11">
        <v>2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2"/>
    </row>
    <row r="40" spans="1:55" ht="15" customHeight="1" x14ac:dyDescent="0.45">
      <c r="A40" s="13">
        <v>38</v>
      </c>
      <c r="B40" s="11">
        <f>Coordinates!E40</f>
        <v>250.28192105431827</v>
      </c>
      <c r="C40" s="14">
        <f t="shared" si="9"/>
        <v>74.730216836283262</v>
      </c>
      <c r="D40" s="14">
        <v>2.2999999999999998</v>
      </c>
      <c r="E40" s="11">
        <v>0</v>
      </c>
      <c r="F40" s="11">
        <f t="shared" si="10"/>
        <v>1</v>
      </c>
      <c r="G40" s="11">
        <f t="shared" si="11"/>
        <v>5.8639994024076321E-4</v>
      </c>
      <c r="H40" s="11"/>
      <c r="I40" s="11">
        <f>Values!T40</f>
        <v>2</v>
      </c>
      <c r="J40" s="11">
        <f t="shared" si="12"/>
        <v>73.930216836283265</v>
      </c>
      <c r="K40" s="11">
        <f t="shared" si="13"/>
        <v>2.4243003812733424</v>
      </c>
      <c r="L40" s="11">
        <f t="shared" si="14"/>
        <v>2</v>
      </c>
      <c r="M40" s="11">
        <f t="shared" si="15"/>
        <v>10.543620548202297</v>
      </c>
      <c r="N40" s="11">
        <f t="shared" si="16"/>
        <v>10.731632413779074</v>
      </c>
      <c r="O40" s="11"/>
      <c r="P40" s="14">
        <f>Coordinates!AG40</f>
        <v>17.700379635261978</v>
      </c>
      <c r="Q40" s="14">
        <f t="shared" si="17"/>
        <v>3.6033437887516033</v>
      </c>
      <c r="R40" s="14">
        <f>(((TAN(RADIANS(Coordinates!AH40)))*3)*2)+D40</f>
        <v>4.3995523182239902</v>
      </c>
      <c r="S40" s="11">
        <v>50</v>
      </c>
      <c r="T40" s="11">
        <v>10</v>
      </c>
      <c r="U40" s="11">
        <v>2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2"/>
    </row>
    <row r="41" spans="1:55" ht="15" customHeight="1" x14ac:dyDescent="0.45">
      <c r="A41" s="13">
        <v>39</v>
      </c>
      <c r="B41" s="11">
        <f>Coordinates!E41</f>
        <v>252.02081093633913</v>
      </c>
      <c r="C41" s="14">
        <f t="shared" si="9"/>
        <v>75.301270838583804</v>
      </c>
      <c r="D41" s="14">
        <v>2.2999999999999998</v>
      </c>
      <c r="E41" s="11">
        <v>0</v>
      </c>
      <c r="F41" s="11">
        <f t="shared" si="10"/>
        <v>1</v>
      </c>
      <c r="G41" s="11">
        <f t="shared" si="11"/>
        <v>5.7789756795180664E-4</v>
      </c>
      <c r="H41" s="11"/>
      <c r="I41" s="11">
        <f>Values!T41</f>
        <v>2</v>
      </c>
      <c r="J41" s="11">
        <f t="shared" si="12"/>
        <v>74.501270838583807</v>
      </c>
      <c r="K41" s="11">
        <f t="shared" si="13"/>
        <v>2.4233817299502016</v>
      </c>
      <c r="L41" s="11">
        <f t="shared" si="14"/>
        <v>2</v>
      </c>
      <c r="M41" s="11">
        <f t="shared" si="15"/>
        <v>10.53403672937975</v>
      </c>
      <c r="N41" s="11">
        <f t="shared" si="16"/>
        <v>10.722216646567146</v>
      </c>
      <c r="O41" s="11"/>
      <c r="P41" s="14">
        <f>Coordinates!AG41</f>
        <v>17.574438129448939</v>
      </c>
      <c r="Q41" s="14">
        <f t="shared" si="17"/>
        <v>3.6308788873950264</v>
      </c>
      <c r="R41" s="14">
        <f>(((TAN(RADIANS(Coordinates!AH41)))*3)*2)+D41</f>
        <v>4.3836301732055976</v>
      </c>
      <c r="S41" s="11">
        <v>50</v>
      </c>
      <c r="T41" s="11">
        <v>10</v>
      </c>
      <c r="U41" s="11">
        <v>2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2"/>
    </row>
    <row r="42" spans="1:55" ht="15" customHeight="1" x14ac:dyDescent="0.45">
      <c r="A42" s="13">
        <v>40</v>
      </c>
      <c r="B42" s="11">
        <f>Coordinates!E42</f>
        <v>254.84911601690911</v>
      </c>
      <c r="C42" s="14">
        <f t="shared" si="9"/>
        <v>76.22926480315779</v>
      </c>
      <c r="D42" s="14">
        <v>2.2999999999999998</v>
      </c>
      <c r="E42" s="11">
        <v>0</v>
      </c>
      <c r="F42" s="11">
        <f t="shared" si="10"/>
        <v>1</v>
      </c>
      <c r="G42" s="11">
        <f t="shared" si="11"/>
        <v>5.6445905975634778E-4</v>
      </c>
      <c r="H42" s="11"/>
      <c r="I42" s="11">
        <f>Values!T42</f>
        <v>2</v>
      </c>
      <c r="J42" s="11">
        <f t="shared" si="12"/>
        <v>75.429264803157793</v>
      </c>
      <c r="K42" s="11">
        <f t="shared" si="13"/>
        <v>2.4219175086593498</v>
      </c>
      <c r="L42" s="11">
        <f t="shared" si="14"/>
        <v>2</v>
      </c>
      <c r="M42" s="11">
        <f t="shared" si="15"/>
        <v>10.518854265710976</v>
      </c>
      <c r="N42" s="11">
        <f t="shared" si="16"/>
        <v>10.707301016748618</v>
      </c>
      <c r="O42" s="11"/>
      <c r="P42" s="14">
        <f>Coordinates!AG42</f>
        <v>17.37343860602552</v>
      </c>
      <c r="Q42" s="14">
        <f t="shared" si="17"/>
        <v>3.6756249276155746</v>
      </c>
      <c r="R42" s="14">
        <f>(((TAN(RADIANS(Coordinates!AH42)))*3)*2)+D42</f>
        <v>4.3582646363591904</v>
      </c>
      <c r="S42" s="11">
        <v>50</v>
      </c>
      <c r="T42" s="11">
        <v>10</v>
      </c>
      <c r="U42" s="11">
        <v>2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2"/>
    </row>
    <row r="43" spans="1:55" ht="15" customHeight="1" x14ac:dyDescent="0.45">
      <c r="A43" s="13">
        <v>41</v>
      </c>
      <c r="B43" s="11">
        <f>Coordinates!E43</f>
        <v>286.75943484633177</v>
      </c>
      <c r="C43" s="14">
        <f t="shared" si="9"/>
        <v>86.638243895697059</v>
      </c>
      <c r="D43" s="14">
        <v>2.2999999999999998</v>
      </c>
      <c r="E43" s="11">
        <v>0</v>
      </c>
      <c r="F43" s="11">
        <f t="shared" si="10"/>
        <v>1</v>
      </c>
      <c r="G43" s="11">
        <f t="shared" si="11"/>
        <v>4.405669570944151E-4</v>
      </c>
      <c r="H43" s="11"/>
      <c r="I43" s="11">
        <f>Values!T43</f>
        <v>2</v>
      </c>
      <c r="J43" s="11">
        <f t="shared" si="12"/>
        <v>85.838243895697062</v>
      </c>
      <c r="K43" s="11">
        <f t="shared" si="13"/>
        <v>2.407596303771276</v>
      </c>
      <c r="L43" s="11">
        <f t="shared" si="14"/>
        <v>2</v>
      </c>
      <c r="M43" s="11">
        <f t="shared" si="15"/>
        <v>10.376374574932166</v>
      </c>
      <c r="N43" s="11">
        <f t="shared" si="16"/>
        <v>10.567362458026066</v>
      </c>
      <c r="O43" s="11"/>
      <c r="P43" s="14">
        <f>Coordinates!AG43</f>
        <v>15.39130289794884</v>
      </c>
      <c r="Q43" s="14">
        <f t="shared" si="17"/>
        <v>4.1775253870042608</v>
      </c>
      <c r="R43" s="14">
        <f>(((TAN(RADIANS(Coordinates!AH43)))*3)*2)+D43</f>
        <v>4.1109785349399557</v>
      </c>
      <c r="S43" s="11">
        <v>50</v>
      </c>
      <c r="T43" s="11">
        <v>10</v>
      </c>
      <c r="U43" s="11">
        <v>2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2"/>
    </row>
    <row r="44" spans="1:55" ht="15" customHeight="1" x14ac:dyDescent="0.45">
      <c r="A44" s="13">
        <v>42</v>
      </c>
      <c r="B44" s="11">
        <f>Coordinates!E44</f>
        <v>266.55164748020223</v>
      </c>
      <c r="C44" s="14">
        <f t="shared" si="9"/>
        <v>80.058832079886542</v>
      </c>
      <c r="D44" s="14">
        <v>2.2999999999999998</v>
      </c>
      <c r="E44" s="11">
        <v>0</v>
      </c>
      <c r="F44" s="11">
        <f t="shared" si="10"/>
        <v>1</v>
      </c>
      <c r="G44" s="11">
        <f t="shared" si="11"/>
        <v>5.1356130418304632E-4</v>
      </c>
      <c r="H44" s="11"/>
      <c r="I44" s="11">
        <f>Values!T44</f>
        <v>2</v>
      </c>
      <c r="J44" s="11">
        <f t="shared" si="12"/>
        <v>79.258832079886545</v>
      </c>
      <c r="K44" s="11">
        <f t="shared" si="13"/>
        <v>2.4162257535727254</v>
      </c>
      <c r="L44" s="11">
        <f t="shared" si="14"/>
        <v>2</v>
      </c>
      <c r="M44" s="11">
        <f t="shared" si="15"/>
        <v>10.460921617437442</v>
      </c>
      <c r="N44" s="11">
        <f t="shared" si="16"/>
        <v>10.650393470955427</v>
      </c>
      <c r="O44" s="11"/>
      <c r="P44" s="14">
        <f>Coordinates!AG44</f>
        <v>16.589105694845713</v>
      </c>
      <c r="Q44" s="14">
        <f t="shared" si="17"/>
        <v>3.860279114963082</v>
      </c>
      <c r="R44" s="14">
        <f>(((TAN(RADIANS(Coordinates!AH44)))*3)*2)+D44</f>
        <v>4.2598087546847747</v>
      </c>
      <c r="S44" s="11">
        <v>50</v>
      </c>
      <c r="T44" s="11">
        <v>10</v>
      </c>
      <c r="U44" s="11">
        <v>2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2"/>
    </row>
    <row r="45" spans="1:55" ht="15" customHeight="1" x14ac:dyDescent="0.45">
      <c r="A45" s="13">
        <v>43</v>
      </c>
      <c r="B45" s="11">
        <f>Coordinates!E45</f>
        <v>244.59377981207945</v>
      </c>
      <c r="C45" s="14">
        <f t="shared" si="9"/>
        <v>72.859398120776603</v>
      </c>
      <c r="D45" s="14">
        <v>2.2999999999999998</v>
      </c>
      <c r="E45" s="11">
        <v>0</v>
      </c>
      <c r="F45" s="11">
        <f t="shared" si="10"/>
        <v>1</v>
      </c>
      <c r="G45" s="11">
        <f t="shared" si="11"/>
        <v>6.1556631230405806E-4</v>
      </c>
      <c r="H45" s="11"/>
      <c r="I45" s="11">
        <f>Values!T45</f>
        <v>2</v>
      </c>
      <c r="J45" s="11">
        <f t="shared" si="12"/>
        <v>72.059398120776606</v>
      </c>
      <c r="K45" s="11">
        <f t="shared" si="13"/>
        <v>2.4274082407943842</v>
      </c>
      <c r="L45" s="11">
        <f t="shared" si="14"/>
        <v>2</v>
      </c>
      <c r="M45" s="11">
        <f t="shared" si="15"/>
        <v>10.576376967912937</v>
      </c>
      <c r="N45" s="11">
        <f t="shared" si="16"/>
        <v>10.763816691462154</v>
      </c>
      <c r="O45" s="11"/>
      <c r="P45" s="14">
        <f>Coordinates!AG45</f>
        <v>18.125487059652173</v>
      </c>
      <c r="Q45" s="14">
        <f t="shared" si="17"/>
        <v>3.5131365970185779</v>
      </c>
      <c r="R45" s="14">
        <f>(((TAN(RADIANS(Coordinates!AH45)))*3)*2)+D45</f>
        <v>4.4534627521889778</v>
      </c>
      <c r="S45" s="11">
        <v>50</v>
      </c>
      <c r="T45" s="11">
        <v>10</v>
      </c>
      <c r="U45" s="11">
        <v>2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2"/>
    </row>
    <row r="46" spans="1:55" ht="15" customHeight="1" x14ac:dyDescent="0.45">
      <c r="A46" s="13">
        <v>44</v>
      </c>
      <c r="B46" s="11">
        <f>Coordinates!E46</f>
        <v>222.93602778149162</v>
      </c>
      <c r="C46" s="14">
        <f t="shared" si="9"/>
        <v>65.690836749438887</v>
      </c>
      <c r="D46" s="14">
        <v>2.2999999999999998</v>
      </c>
      <c r="E46" s="11">
        <v>0</v>
      </c>
      <c r="F46" s="11">
        <f t="shared" si="10"/>
        <v>1</v>
      </c>
      <c r="G46" s="11">
        <f t="shared" si="11"/>
        <v>7.4924317615375003E-4</v>
      </c>
      <c r="H46" s="11"/>
      <c r="I46" s="11">
        <f>Values!T46</f>
        <v>2</v>
      </c>
      <c r="J46" s="11">
        <f t="shared" si="12"/>
        <v>64.89083674943889</v>
      </c>
      <c r="K46" s="11">
        <f t="shared" si="13"/>
        <v>2.4409093341456987</v>
      </c>
      <c r="L46" s="11">
        <f t="shared" si="14"/>
        <v>2</v>
      </c>
      <c r="M46" s="11">
        <f t="shared" si="15"/>
        <v>10.724661803379634</v>
      </c>
      <c r="N46" s="11">
        <f t="shared" si="16"/>
        <v>10.909554106235053</v>
      </c>
      <c r="O46" s="11"/>
      <c r="P46" s="14">
        <f>Coordinates!AG46</f>
        <v>19.95415412646101</v>
      </c>
      <c r="Q46" s="14">
        <f t="shared" si="17"/>
        <v>3.1674826944173882</v>
      </c>
      <c r="R46" s="14">
        <f>(((TAN(RADIANS(Coordinates!AH46)))*3)*2)+D46</f>
        <v>4.6884609751350164</v>
      </c>
      <c r="S46" s="11">
        <v>50</v>
      </c>
      <c r="T46" s="11">
        <v>10</v>
      </c>
      <c r="U46" s="11">
        <v>2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2"/>
    </row>
    <row r="47" spans="1:55" ht="15" customHeight="1" x14ac:dyDescent="0.45">
      <c r="A47" s="13">
        <v>45</v>
      </c>
      <c r="B47" s="11">
        <f>Coordinates!E47</f>
        <v>203.55585398123534</v>
      </c>
      <c r="C47" s="14">
        <f t="shared" si="9"/>
        <v>59.199305669602019</v>
      </c>
      <c r="D47" s="14">
        <v>2.2999999999999998</v>
      </c>
      <c r="E47" s="11">
        <v>0</v>
      </c>
      <c r="F47" s="11">
        <f t="shared" si="10"/>
        <v>1</v>
      </c>
      <c r="G47" s="11">
        <f t="shared" si="11"/>
        <v>9.0975240754154099E-4</v>
      </c>
      <c r="H47" s="11"/>
      <c r="I47" s="11">
        <f>Values!T47</f>
        <v>2</v>
      </c>
      <c r="J47" s="11">
        <f t="shared" si="12"/>
        <v>58.399305669602022</v>
      </c>
      <c r="K47" s="11">
        <f t="shared" si="13"/>
        <v>2.4558689863412209</v>
      </c>
      <c r="L47" s="11">
        <f t="shared" si="14"/>
        <v>2</v>
      </c>
      <c r="M47" s="11">
        <f t="shared" si="15"/>
        <v>10.900334730090858</v>
      </c>
      <c r="N47" s="11">
        <f t="shared" si="16"/>
        <v>11.082296568312225</v>
      </c>
      <c r="O47" s="11"/>
      <c r="P47" s="14">
        <f>Coordinates!AG47</f>
        <v>21.94333957056234</v>
      </c>
      <c r="Q47" s="14">
        <f t="shared" si="17"/>
        <v>2.854473858282697</v>
      </c>
      <c r="R47" s="14">
        <f>(((TAN(RADIANS(Coordinates!AH47)))*3)*2)+D47</f>
        <v>4.9503689228329222</v>
      </c>
      <c r="S47" s="11">
        <v>50</v>
      </c>
      <c r="T47" s="11">
        <v>10</v>
      </c>
      <c r="U47" s="11">
        <v>2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2"/>
    </row>
    <row r="48" spans="1:55" ht="15" customHeight="1" x14ac:dyDescent="0.45">
      <c r="A48" s="13">
        <v>46</v>
      </c>
      <c r="B48" s="11">
        <f>Coordinates!E48</f>
        <v>188.15016849169598</v>
      </c>
      <c r="C48" s="14">
        <f t="shared" si="9"/>
        <v>53.969214753514009</v>
      </c>
      <c r="D48" s="14">
        <v>2.2999999999999998</v>
      </c>
      <c r="E48" s="11">
        <v>0</v>
      </c>
      <c r="F48" s="11">
        <f t="shared" si="10"/>
        <v>1</v>
      </c>
      <c r="G48" s="11">
        <f t="shared" si="11"/>
        <v>1.07751526464636E-3</v>
      </c>
      <c r="H48" s="11"/>
      <c r="I48" s="11">
        <f>Values!T48</f>
        <v>2</v>
      </c>
      <c r="J48" s="11">
        <f t="shared" si="12"/>
        <v>53.169214753514012</v>
      </c>
      <c r="K48" s="11">
        <f t="shared" si="13"/>
        <v>2.4704514222908984</v>
      </c>
      <c r="L48" s="11">
        <f t="shared" si="14"/>
        <v>2</v>
      </c>
      <c r="M48" s="11">
        <f t="shared" si="15"/>
        <v>11.08306239833475</v>
      </c>
      <c r="N48" s="11">
        <f t="shared" si="16"/>
        <v>11.26207228379314</v>
      </c>
      <c r="O48" s="11"/>
      <c r="P48" s="14">
        <f>Coordinates!AG48</f>
        <v>23.841527065897314</v>
      </c>
      <c r="Q48" s="14">
        <f t="shared" si="17"/>
        <v>2.6022891809870488</v>
      </c>
      <c r="R48" s="14">
        <f>(((TAN(RADIANS(Coordinates!AH48)))*3)*2)+D48</f>
        <v>5.2072129493932282</v>
      </c>
      <c r="S48" s="11">
        <v>50</v>
      </c>
      <c r="T48" s="11">
        <v>10</v>
      </c>
      <c r="U48" s="11">
        <v>2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2"/>
    </row>
    <row r="49" spans="1:55" ht="15" customHeight="1" x14ac:dyDescent="0.45">
      <c r="A49" s="13">
        <v>47</v>
      </c>
      <c r="B49" s="11">
        <f>Coordinates!E49</f>
        <v>178.04790194316686</v>
      </c>
      <c r="C49" s="14">
        <f t="shared" si="9"/>
        <v>50.495913662547991</v>
      </c>
      <c r="D49" s="14">
        <v>2.2999999999999998</v>
      </c>
      <c r="E49" s="11">
        <v>0</v>
      </c>
      <c r="F49" s="11">
        <f t="shared" si="10"/>
        <v>1</v>
      </c>
      <c r="G49" s="11">
        <f t="shared" si="11"/>
        <v>1.214285365701029E-3</v>
      </c>
      <c r="H49" s="11"/>
      <c r="I49" s="11">
        <f>Values!T49</f>
        <v>2</v>
      </c>
      <c r="J49" s="11">
        <f t="shared" si="12"/>
        <v>49.695913662547994</v>
      </c>
      <c r="K49" s="11">
        <f t="shared" si="13"/>
        <v>2.4817454384505773</v>
      </c>
      <c r="L49" s="11">
        <f t="shared" si="14"/>
        <v>2</v>
      </c>
      <c r="M49" s="11">
        <f t="shared" si="15"/>
        <v>11.2323459608227</v>
      </c>
      <c r="N49" s="11">
        <f t="shared" si="16"/>
        <v>11.409013795399234</v>
      </c>
      <c r="O49" s="11"/>
      <c r="P49" s="14">
        <f>Coordinates!AG49</f>
        <v>25.282089515464484</v>
      </c>
      <c r="Q49" s="14">
        <f t="shared" si="17"/>
        <v>2.4348134470410976</v>
      </c>
      <c r="R49" s="14">
        <f>(((TAN(RADIANS(Coordinates!AH49)))*3)*2)+D49</f>
        <v>5.4071821187061762</v>
      </c>
      <c r="S49" s="11">
        <v>50</v>
      </c>
      <c r="T49" s="11">
        <v>10</v>
      </c>
      <c r="U49" s="11">
        <v>2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2"/>
    </row>
    <row r="50" spans="1:55" ht="15" customHeight="1" x14ac:dyDescent="0.45">
      <c r="A50" s="13">
        <v>48</v>
      </c>
      <c r="B50" s="11">
        <f>Coordinates!E50</f>
        <v>174.15253773362016</v>
      </c>
      <c r="C50" s="14">
        <f t="shared" si="9"/>
        <v>49.145501948456534</v>
      </c>
      <c r="D50" s="14">
        <v>2.2999999999999998</v>
      </c>
      <c r="E50" s="11">
        <v>0</v>
      </c>
      <c r="F50" s="11">
        <f t="shared" si="10"/>
        <v>1</v>
      </c>
      <c r="G50" s="11">
        <f t="shared" si="11"/>
        <v>1.2741350325815052E-3</v>
      </c>
      <c r="H50" s="11"/>
      <c r="I50" s="11">
        <f>Values!T50</f>
        <v>2</v>
      </c>
      <c r="J50" s="11">
        <f t="shared" si="12"/>
        <v>48.345501948456537</v>
      </c>
      <c r="K50" s="11">
        <f t="shared" si="13"/>
        <v>2.486551892720013</v>
      </c>
      <c r="L50" s="11">
        <f t="shared" si="14"/>
        <v>2</v>
      </c>
      <c r="M50" s="11">
        <f t="shared" si="15"/>
        <v>11.297924351133304</v>
      </c>
      <c r="N50" s="11">
        <f t="shared" si="16"/>
        <v>11.47358246773565</v>
      </c>
      <c r="O50" s="11"/>
      <c r="P50" s="14">
        <f>Coordinates!AG50</f>
        <v>25.887004559146479</v>
      </c>
      <c r="Q50" s="14">
        <f t="shared" si="17"/>
        <v>2.3696992553763105</v>
      </c>
      <c r="R50" s="14">
        <f>(((TAN(RADIANS(Coordinates!AH50)))*3)*2)+D50</f>
        <v>5.4925607386115551</v>
      </c>
      <c r="S50" s="11">
        <v>50</v>
      </c>
      <c r="T50" s="11">
        <v>10</v>
      </c>
      <c r="U50" s="11">
        <v>2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2"/>
    </row>
    <row r="51" spans="1:55" ht="15" customHeight="1" x14ac:dyDescent="0.45">
      <c r="A51" s="13">
        <v>49</v>
      </c>
      <c r="B51" s="11">
        <f>Coordinates!E51</f>
        <v>176.80952309460031</v>
      </c>
      <c r="C51" s="14">
        <f t="shared" si="9"/>
        <v>50.067327093521619</v>
      </c>
      <c r="D51" s="14">
        <v>2.2999999999999998</v>
      </c>
      <c r="E51" s="11">
        <v>0</v>
      </c>
      <c r="F51" s="11">
        <f t="shared" si="10"/>
        <v>1</v>
      </c>
      <c r="G51" s="11">
        <f t="shared" si="11"/>
        <v>1.2328420261322936E-3</v>
      </c>
      <c r="H51" s="11"/>
      <c r="I51" s="11">
        <f>Values!T51</f>
        <v>2</v>
      </c>
      <c r="J51" s="11">
        <f t="shared" si="12"/>
        <v>49.267327093521622</v>
      </c>
      <c r="K51" s="11">
        <f t="shared" si="13"/>
        <v>2.48324379720933</v>
      </c>
      <c r="L51" s="11">
        <f t="shared" si="14"/>
        <v>2</v>
      </c>
      <c r="M51" s="11">
        <f t="shared" si="15"/>
        <v>11.2526584434531</v>
      </c>
      <c r="N51" s="11">
        <f t="shared" si="16"/>
        <v>11.429012295251779</v>
      </c>
      <c r="O51" s="11"/>
      <c r="P51" s="14">
        <f>Coordinates!AG51</f>
        <v>25.471195066208868</v>
      </c>
      <c r="Q51" s="14">
        <f t="shared" si="17"/>
        <v>2.4141478472767237</v>
      </c>
      <c r="R51" s="14">
        <f>(((TAN(RADIANS(Coordinates!AH51)))*3)*2)+D51</f>
        <v>5.4337802337025858</v>
      </c>
      <c r="S51" s="11">
        <v>50</v>
      </c>
      <c r="T51" s="11">
        <v>10</v>
      </c>
      <c r="U51" s="11">
        <v>2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2"/>
    </row>
    <row r="52" spans="1:55" ht="15" customHeight="1" x14ac:dyDescent="0.45">
      <c r="A52" s="13">
        <v>50</v>
      </c>
      <c r="B52" s="11">
        <f>Coordinates!E52</f>
        <v>184.97943740708044</v>
      </c>
      <c r="C52" s="14">
        <f t="shared" si="9"/>
        <v>52.883243871265748</v>
      </c>
      <c r="D52" s="14">
        <v>2.2999999999999998</v>
      </c>
      <c r="E52" s="11">
        <v>0</v>
      </c>
      <c r="F52" s="11">
        <f t="shared" si="10"/>
        <v>1</v>
      </c>
      <c r="G52" s="11">
        <f t="shared" si="11"/>
        <v>1.1178211688294367E-3</v>
      </c>
      <c r="H52" s="11"/>
      <c r="I52" s="11">
        <f>Values!T52</f>
        <v>2</v>
      </c>
      <c r="J52" s="11">
        <f t="shared" si="12"/>
        <v>52.083243871265751</v>
      </c>
      <c r="K52" s="11">
        <f t="shared" si="13"/>
        <v>2.4738286250818207</v>
      </c>
      <c r="L52" s="11">
        <f t="shared" si="14"/>
        <v>2</v>
      </c>
      <c r="M52" s="11">
        <f t="shared" si="15"/>
        <v>11.126993480534434</v>
      </c>
      <c r="N52" s="11">
        <f t="shared" si="16"/>
        <v>11.305307776255178</v>
      </c>
      <c r="O52" s="11"/>
      <c r="P52" s="14">
        <f>Coordinates!AG52</f>
        <v>24.275065905065002</v>
      </c>
      <c r="Q52" s="14">
        <f t="shared" si="17"/>
        <v>2.5499258051134426</v>
      </c>
      <c r="R52" s="14">
        <f>(((TAN(RADIANS(Coordinates!AH52)))*3)*2)+D52</f>
        <v>5.2669133077755852</v>
      </c>
      <c r="S52" s="11">
        <v>50</v>
      </c>
      <c r="T52" s="11">
        <v>10</v>
      </c>
      <c r="U52" s="11">
        <v>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2"/>
    </row>
    <row r="53" spans="1:55" ht="15" customHeight="1" x14ac:dyDescent="0.45">
      <c r="A53" s="13">
        <v>51</v>
      </c>
      <c r="B53" s="11">
        <f>Coordinates!E53</f>
        <v>196.92259709347326</v>
      </c>
      <c r="C53" s="14">
        <f t="shared" si="9"/>
        <v>56.956125596086267</v>
      </c>
      <c r="D53" s="14">
        <v>2.2999999999999998</v>
      </c>
      <c r="E53" s="11">
        <v>0</v>
      </c>
      <c r="F53" s="11">
        <f t="shared" si="10"/>
        <v>1</v>
      </c>
      <c r="G53" s="11">
        <f t="shared" si="11"/>
        <v>9.767793939646891E-4</v>
      </c>
      <c r="H53" s="11"/>
      <c r="I53" s="11">
        <f>Values!T53</f>
        <v>2</v>
      </c>
      <c r="J53" s="11">
        <f t="shared" si="12"/>
        <v>56.15612559608627</v>
      </c>
      <c r="K53" s="11">
        <f t="shared" si="13"/>
        <v>2.4618058009582962</v>
      </c>
      <c r="L53" s="11">
        <f t="shared" si="14"/>
        <v>2</v>
      </c>
      <c r="M53" s="11">
        <f t="shared" si="15"/>
        <v>10.973360735407661</v>
      </c>
      <c r="N53" s="11">
        <f t="shared" si="16"/>
        <v>11.154131334594666</v>
      </c>
      <c r="O53" s="11"/>
      <c r="P53" s="14">
        <f>Coordinates!AG53</f>
        <v>22.721174976714224</v>
      </c>
      <c r="Q53" s="14">
        <f t="shared" si="17"/>
        <v>2.7463121356603439</v>
      </c>
      <c r="R53" s="14">
        <f>(((TAN(RADIANS(Coordinates!AH53)))*3)*2)+D53</f>
        <v>5.0547519842322517</v>
      </c>
      <c r="S53" s="11">
        <v>50</v>
      </c>
      <c r="T53" s="11">
        <v>10</v>
      </c>
      <c r="U53" s="11">
        <v>2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2"/>
    </row>
    <row r="54" spans="1:55" ht="15" customHeight="1" x14ac:dyDescent="0.45">
      <c r="A54" s="13">
        <v>52</v>
      </c>
      <c r="B54" s="11">
        <f>Coordinates!E54</f>
        <v>210.52314925384712</v>
      </c>
      <c r="C54" s="14">
        <f t="shared" si="9"/>
        <v>61.542946761910066</v>
      </c>
      <c r="D54" s="14">
        <v>2.2999999999999998</v>
      </c>
      <c r="E54" s="11">
        <v>0</v>
      </c>
      <c r="F54" s="11">
        <f t="shared" si="10"/>
        <v>1</v>
      </c>
      <c r="G54" s="11">
        <f t="shared" si="11"/>
        <v>8.465511507114228E-4</v>
      </c>
      <c r="H54" s="11"/>
      <c r="I54" s="11">
        <f>Values!T54</f>
        <v>2</v>
      </c>
      <c r="J54" s="11">
        <f t="shared" si="12"/>
        <v>60.742946761910069</v>
      </c>
      <c r="K54" s="11">
        <f t="shared" si="13"/>
        <v>2.4501149010783139</v>
      </c>
      <c r="L54" s="11">
        <f t="shared" si="14"/>
        <v>2</v>
      </c>
      <c r="M54" s="11">
        <f t="shared" si="15"/>
        <v>10.831349992148498</v>
      </c>
      <c r="N54" s="11">
        <f t="shared" si="16"/>
        <v>11.014451536613853</v>
      </c>
      <c r="O54" s="11"/>
      <c r="P54" s="14">
        <f>Coordinates!AG54</f>
        <v>21.183055896282543</v>
      </c>
      <c r="Q54" s="14">
        <f t="shared" si="17"/>
        <v>2.9674796132577179</v>
      </c>
      <c r="R54" s="14">
        <f>(((TAN(RADIANS(Coordinates!AH54)))*3)*2)+D54</f>
        <v>4.8494391844283271</v>
      </c>
      <c r="S54" s="11">
        <v>50</v>
      </c>
      <c r="T54" s="11">
        <v>10</v>
      </c>
      <c r="U54" s="11">
        <v>2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2"/>
    </row>
    <row r="55" spans="1:55" ht="15" customHeight="1" x14ac:dyDescent="0.45">
      <c r="A55" s="13">
        <v>53</v>
      </c>
      <c r="B55" s="11">
        <f>Coordinates!E55</f>
        <v>223.56840359239965</v>
      </c>
      <c r="C55" s="14">
        <f t="shared" si="9"/>
        <v>65.901303456159482</v>
      </c>
      <c r="D55" s="14">
        <v>2.2999999999999998</v>
      </c>
      <c r="E55" s="11">
        <v>0</v>
      </c>
      <c r="F55" s="11">
        <f t="shared" si="10"/>
        <v>1</v>
      </c>
      <c r="G55" s="11">
        <f t="shared" si="11"/>
        <v>7.4474383969174189E-4</v>
      </c>
      <c r="H55" s="11"/>
      <c r="I55" s="11">
        <f>Values!T55</f>
        <v>2</v>
      </c>
      <c r="J55" s="11">
        <f t="shared" si="12"/>
        <v>65.101303456159485</v>
      </c>
      <c r="K55" s="11">
        <f t="shared" si="13"/>
        <v>2.440472267108905</v>
      </c>
      <c r="L55" s="11">
        <f t="shared" si="14"/>
        <v>2</v>
      </c>
      <c r="M55" s="11">
        <f t="shared" si="15"/>
        <v>10.719708946122822</v>
      </c>
      <c r="N55" s="11">
        <f t="shared" si="16"/>
        <v>10.904685226524682</v>
      </c>
      <c r="O55" s="11"/>
      <c r="P55" s="14">
        <f>Coordinates!AG55</f>
        <v>19.895434765994505</v>
      </c>
      <c r="Q55" s="14">
        <f t="shared" si="17"/>
        <v>3.1776309842592623</v>
      </c>
      <c r="R55" s="14">
        <f>(((TAN(RADIANS(Coordinates!AH55)))*3)*2)+D55</f>
        <v>4.680833030174842</v>
      </c>
      <c r="S55" s="11">
        <v>50</v>
      </c>
      <c r="T55" s="11">
        <v>10</v>
      </c>
      <c r="U55" s="11">
        <v>2</v>
      </c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2"/>
    </row>
    <row r="56" spans="1:55" ht="15" customHeight="1" x14ac:dyDescent="0.45">
      <c r="A56" s="13">
        <v>54</v>
      </c>
      <c r="B56" s="11">
        <f>Coordinates!E56</f>
        <v>234.28256249360516</v>
      </c>
      <c r="C56" s="14">
        <f t="shared" si="9"/>
        <v>69.456101956631855</v>
      </c>
      <c r="D56" s="14">
        <v>2.2999999999999998</v>
      </c>
      <c r="E56" s="11">
        <v>0</v>
      </c>
      <c r="F56" s="11">
        <f t="shared" si="10"/>
        <v>1</v>
      </c>
      <c r="G56" s="11">
        <f t="shared" si="11"/>
        <v>6.743037083377344E-4</v>
      </c>
      <c r="H56" s="11"/>
      <c r="I56" s="11">
        <f>Values!T56</f>
        <v>2</v>
      </c>
      <c r="J56" s="11">
        <f t="shared" si="12"/>
        <v>68.656101956631858</v>
      </c>
      <c r="K56" s="11">
        <f t="shared" si="13"/>
        <v>2.4334797177982841</v>
      </c>
      <c r="L56" s="11">
        <f t="shared" si="14"/>
        <v>2</v>
      </c>
      <c r="M56" s="11">
        <f t="shared" si="15"/>
        <v>10.641856635034141</v>
      </c>
      <c r="N56" s="11">
        <f t="shared" si="16"/>
        <v>10.828162939327251</v>
      </c>
      <c r="O56" s="11"/>
      <c r="P56" s="14">
        <f>Coordinates!AG56</f>
        <v>18.951567307799735</v>
      </c>
      <c r="Q56" s="14">
        <f t="shared" si="17"/>
        <v>3.3490363626887478</v>
      </c>
      <c r="R56" s="14">
        <f>(((TAN(RADIANS(Coordinates!AH56)))*3)*2)+D56</f>
        <v>4.5589807890164611</v>
      </c>
      <c r="S56" s="11">
        <v>50</v>
      </c>
      <c r="T56" s="11">
        <v>10</v>
      </c>
      <c r="U56" s="11">
        <v>2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2"/>
    </row>
    <row r="57" spans="1:55" ht="15" customHeight="1" x14ac:dyDescent="0.45">
      <c r="A57" s="13">
        <v>55</v>
      </c>
      <c r="B57" s="11">
        <f>Coordinates!E57</f>
        <v>241.82662937679132</v>
      </c>
      <c r="C57" s="14">
        <f t="shared" si="9"/>
        <v>71.947650441269602</v>
      </c>
      <c r="D57" s="14">
        <v>2.2999999999999998</v>
      </c>
      <c r="E57" s="11">
        <v>0</v>
      </c>
      <c r="F57" s="11">
        <f t="shared" si="10"/>
        <v>1</v>
      </c>
      <c r="G57" s="11">
        <f t="shared" si="11"/>
        <v>6.3055013498598508E-4</v>
      </c>
      <c r="H57" s="11"/>
      <c r="I57" s="11">
        <f>Values!T57</f>
        <v>2</v>
      </c>
      <c r="J57" s="11">
        <f t="shared" si="12"/>
        <v>71.147650441269604</v>
      </c>
      <c r="K57" s="11">
        <f t="shared" si="13"/>
        <v>2.4289799249885711</v>
      </c>
      <c r="L57" s="11">
        <f t="shared" si="14"/>
        <v>2</v>
      </c>
      <c r="M57" s="11">
        <f t="shared" si="15"/>
        <v>10.593138510867089</v>
      </c>
      <c r="N57" s="11">
        <f t="shared" si="16"/>
        <v>10.780286800935095</v>
      </c>
      <c r="O57" s="11"/>
      <c r="P57" s="14">
        <f>Coordinates!AG57</f>
        <v>18.339895251350097</v>
      </c>
      <c r="Q57" s="14">
        <f t="shared" si="17"/>
        <v>3.4691739206482195</v>
      </c>
      <c r="R57" s="14">
        <f>(((TAN(RADIANS(Coordinates!AH57)))*3)*2)+D57</f>
        <v>4.4807522419106158</v>
      </c>
      <c r="S57" s="11">
        <v>50</v>
      </c>
      <c r="T57" s="11">
        <v>10</v>
      </c>
      <c r="U57" s="11">
        <v>2</v>
      </c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2"/>
    </row>
    <row r="58" spans="1:55" ht="15" customHeight="1" x14ac:dyDescent="0.45">
      <c r="A58" s="13">
        <v>56</v>
      </c>
      <c r="B58" s="11">
        <f>Coordinates!E58</f>
        <v>246.35822476241788</v>
      </c>
      <c r="C58" s="14">
        <f t="shared" si="9"/>
        <v>73.440195299021383</v>
      </c>
      <c r="D58" s="14">
        <v>2.2999999999999998</v>
      </c>
      <c r="E58" s="11">
        <v>0</v>
      </c>
      <c r="F58" s="11">
        <f t="shared" si="10"/>
        <v>1</v>
      </c>
      <c r="G58" s="11">
        <f t="shared" si="11"/>
        <v>6.0628985925595868E-4</v>
      </c>
      <c r="H58" s="11"/>
      <c r="I58" s="11">
        <f>Values!T58</f>
        <v>2</v>
      </c>
      <c r="J58" s="11">
        <f t="shared" si="12"/>
        <v>72.640195299021386</v>
      </c>
      <c r="K58" s="11">
        <f t="shared" si="13"/>
        <v>2.4264268854737252</v>
      </c>
      <c r="L58" s="11">
        <f t="shared" si="14"/>
        <v>2</v>
      </c>
      <c r="M58" s="11">
        <f t="shared" si="15"/>
        <v>10.565977952668057</v>
      </c>
      <c r="N58" s="11">
        <f t="shared" si="16"/>
        <v>10.753598936926533</v>
      </c>
      <c r="O58" s="11"/>
      <c r="P58" s="14">
        <f>Coordinates!AG58</f>
        <v>17.991414441498584</v>
      </c>
      <c r="Q58" s="14">
        <f t="shared" si="17"/>
        <v>3.541141492405643</v>
      </c>
      <c r="R58" s="14">
        <f>(((TAN(RADIANS(Coordinates!AH58)))*3)*2)+D58</f>
        <v>4.4364322270816556</v>
      </c>
      <c r="S58" s="11">
        <v>50</v>
      </c>
      <c r="T58" s="11">
        <v>10</v>
      </c>
      <c r="U58" s="11">
        <v>2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2"/>
    </row>
    <row r="59" spans="1:55" ht="15" customHeight="1" x14ac:dyDescent="0.45">
      <c r="A59" s="13">
        <v>57</v>
      </c>
      <c r="B59" s="11">
        <f>Coordinates!E59</f>
        <v>248.77461428538084</v>
      </c>
      <c r="C59" s="14">
        <f t="shared" si="9"/>
        <v>74.23489395049215</v>
      </c>
      <c r="D59" s="14">
        <v>2.2999999999999998</v>
      </c>
      <c r="E59" s="11">
        <v>0</v>
      </c>
      <c r="F59" s="11">
        <f t="shared" si="10"/>
        <v>1</v>
      </c>
      <c r="G59" s="11">
        <f t="shared" si="11"/>
        <v>5.9392306683049394E-4</v>
      </c>
      <c r="H59" s="11"/>
      <c r="I59" s="11">
        <f>Values!T59</f>
        <v>2</v>
      </c>
      <c r="J59" s="11">
        <f t="shared" si="12"/>
        <v>73.434893950492153</v>
      </c>
      <c r="K59" s="11">
        <f t="shared" si="13"/>
        <v>2.4251083628808252</v>
      </c>
      <c r="L59" s="11">
        <f t="shared" si="14"/>
        <v>2</v>
      </c>
      <c r="M59" s="11">
        <f t="shared" si="15"/>
        <v>10.552087004195755</v>
      </c>
      <c r="N59" s="11">
        <f t="shared" si="16"/>
        <v>10.7399506583651</v>
      </c>
      <c r="O59" s="11"/>
      <c r="P59" s="14">
        <f>Coordinates!AG59</f>
        <v>17.811042554571952</v>
      </c>
      <c r="Q59" s="14">
        <f t="shared" si="17"/>
        <v>3.5794602953067489</v>
      </c>
      <c r="R59" s="14">
        <f>(((TAN(RADIANS(Coordinates!AH59)))*3)*2)+D59</f>
        <v>4.413561313964264</v>
      </c>
      <c r="S59" s="11">
        <v>50</v>
      </c>
      <c r="T59" s="11">
        <v>10</v>
      </c>
      <c r="U59" s="11">
        <v>2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</row>
    <row r="60" spans="1:55" ht="15" customHeight="1" x14ac:dyDescent="0.45">
      <c r="A60" s="13">
        <v>58</v>
      </c>
      <c r="B60" s="11">
        <f>Coordinates!E60</f>
        <v>250.28192105431827</v>
      </c>
      <c r="C60" s="14">
        <f t="shared" si="9"/>
        <v>74.730216836283262</v>
      </c>
      <c r="D60" s="14">
        <v>2.2999999999999998</v>
      </c>
      <c r="E60" s="11">
        <v>0</v>
      </c>
      <c r="F60" s="11">
        <f t="shared" si="10"/>
        <v>1</v>
      </c>
      <c r="G60" s="11">
        <f t="shared" si="11"/>
        <v>5.8639994024076321E-4</v>
      </c>
      <c r="H60" s="11"/>
      <c r="I60" s="11">
        <f>Values!T60</f>
        <v>2</v>
      </c>
      <c r="J60" s="11">
        <f t="shared" si="12"/>
        <v>73.930216836283265</v>
      </c>
      <c r="K60" s="11">
        <f t="shared" si="13"/>
        <v>2.4243003812733424</v>
      </c>
      <c r="L60" s="11">
        <f t="shared" si="14"/>
        <v>2</v>
      </c>
      <c r="M60" s="11">
        <f t="shared" si="15"/>
        <v>10.543620548202297</v>
      </c>
      <c r="N60" s="11">
        <f t="shared" si="16"/>
        <v>10.731632413779074</v>
      </c>
      <c r="O60" s="11"/>
      <c r="P60" s="14">
        <f>Coordinates!AG60</f>
        <v>17.700379635261978</v>
      </c>
      <c r="Q60" s="14">
        <f t="shared" si="17"/>
        <v>3.6033437887516033</v>
      </c>
      <c r="R60" s="14">
        <f>(((TAN(RADIANS(Coordinates!AH60)))*3)*2)+D60</f>
        <v>4.3995523182239902</v>
      </c>
      <c r="S60" s="11">
        <v>50</v>
      </c>
      <c r="T60" s="11">
        <v>10</v>
      </c>
      <c r="U60" s="11">
        <v>2</v>
      </c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2"/>
    </row>
    <row r="61" spans="1:55" ht="15" customHeight="1" x14ac:dyDescent="0.45">
      <c r="A61" s="13">
        <v>59</v>
      </c>
      <c r="B61" s="11">
        <f>Coordinates!E61</f>
        <v>252.02081093633913</v>
      </c>
      <c r="C61" s="14">
        <f t="shared" si="9"/>
        <v>75.301270838583804</v>
      </c>
      <c r="D61" s="14">
        <v>2.2999999999999998</v>
      </c>
      <c r="E61" s="11">
        <v>0</v>
      </c>
      <c r="F61" s="11">
        <f t="shared" si="10"/>
        <v>1</v>
      </c>
      <c r="G61" s="11">
        <f t="shared" si="11"/>
        <v>5.7789756795180664E-4</v>
      </c>
      <c r="H61" s="11"/>
      <c r="I61" s="11">
        <f>Values!T61</f>
        <v>2</v>
      </c>
      <c r="J61" s="11">
        <f t="shared" si="12"/>
        <v>74.501270838583807</v>
      </c>
      <c r="K61" s="11">
        <f t="shared" si="13"/>
        <v>2.4233817299502016</v>
      </c>
      <c r="L61" s="11">
        <f t="shared" si="14"/>
        <v>2</v>
      </c>
      <c r="M61" s="11">
        <f t="shared" si="15"/>
        <v>10.53403672937975</v>
      </c>
      <c r="N61" s="11">
        <f t="shared" si="16"/>
        <v>10.722216646567146</v>
      </c>
      <c r="O61" s="11"/>
      <c r="P61" s="14">
        <f>Coordinates!AG61</f>
        <v>17.574438129448939</v>
      </c>
      <c r="Q61" s="14">
        <f t="shared" si="17"/>
        <v>3.6308788873950264</v>
      </c>
      <c r="R61" s="14">
        <f>(((TAN(RADIANS(Coordinates!AH61)))*3)*2)+D61</f>
        <v>4.3836301732055976</v>
      </c>
      <c r="S61" s="11">
        <v>50</v>
      </c>
      <c r="T61" s="11">
        <v>10</v>
      </c>
      <c r="U61" s="11">
        <v>2</v>
      </c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2"/>
    </row>
    <row r="62" spans="1:55" ht="15" customHeight="1" x14ac:dyDescent="0.45">
      <c r="A62" s="13">
        <v>60</v>
      </c>
      <c r="B62" s="11">
        <f>Coordinates!E62</f>
        <v>254.84911601690911</v>
      </c>
      <c r="C62" s="14">
        <f t="shared" si="9"/>
        <v>76.22926480315779</v>
      </c>
      <c r="D62" s="14">
        <v>2.2999999999999998</v>
      </c>
      <c r="E62" s="11">
        <v>0</v>
      </c>
      <c r="F62" s="11">
        <f t="shared" si="10"/>
        <v>1</v>
      </c>
      <c r="G62" s="11">
        <f t="shared" si="11"/>
        <v>5.6445905975634778E-4</v>
      </c>
      <c r="H62" s="11"/>
      <c r="I62" s="11">
        <f>Values!T62</f>
        <v>2</v>
      </c>
      <c r="J62" s="11">
        <f t="shared" si="12"/>
        <v>75.429264803157793</v>
      </c>
      <c r="K62" s="11">
        <f t="shared" si="13"/>
        <v>2.4219175086593498</v>
      </c>
      <c r="L62" s="11">
        <f t="shared" si="14"/>
        <v>2</v>
      </c>
      <c r="M62" s="11">
        <f t="shared" si="15"/>
        <v>10.518854265710976</v>
      </c>
      <c r="N62" s="11">
        <f t="shared" si="16"/>
        <v>10.707301016748618</v>
      </c>
      <c r="O62" s="11"/>
      <c r="P62" s="14">
        <f>Coordinates!AG62</f>
        <v>17.37343860602552</v>
      </c>
      <c r="Q62" s="14">
        <f t="shared" si="17"/>
        <v>3.6756249276155746</v>
      </c>
      <c r="R62" s="14">
        <f>(((TAN(RADIANS(Coordinates!AH62)))*3)*2)+D62</f>
        <v>4.3582646363591904</v>
      </c>
      <c r="S62" s="11">
        <v>50</v>
      </c>
      <c r="T62" s="11">
        <v>10</v>
      </c>
      <c r="U62" s="11">
        <v>2</v>
      </c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2"/>
    </row>
    <row r="63" spans="1:55" ht="15" customHeight="1" x14ac:dyDescent="0.45">
      <c r="A63" s="13">
        <v>61</v>
      </c>
      <c r="B63" s="11">
        <f>Coordinates!E63</f>
        <v>294.25720507886905</v>
      </c>
      <c r="C63" s="14">
        <f t="shared" si="9"/>
        <v>89.070206162964965</v>
      </c>
      <c r="D63" s="14">
        <v>2.2999999999999998</v>
      </c>
      <c r="E63" s="11">
        <v>0</v>
      </c>
      <c r="F63" s="11">
        <f t="shared" si="10"/>
        <v>1</v>
      </c>
      <c r="G63" s="11">
        <f t="shared" si="11"/>
        <v>4.1740314532016844E-4</v>
      </c>
      <c r="H63" s="11"/>
      <c r="I63" s="11">
        <f>Values!T63</f>
        <v>2</v>
      </c>
      <c r="J63" s="11">
        <f t="shared" si="12"/>
        <v>88.270206162964968</v>
      </c>
      <c r="K63" s="11">
        <f t="shared" si="13"/>
        <v>2.4047224374987173</v>
      </c>
      <c r="L63" s="11">
        <f t="shared" si="14"/>
        <v>2</v>
      </c>
      <c r="M63" s="11">
        <f t="shared" si="15"/>
        <v>10.349095016519849</v>
      </c>
      <c r="N63" s="11">
        <f t="shared" si="16"/>
        <v>10.540577197713414</v>
      </c>
      <c r="O63" s="11"/>
      <c r="P63" s="14">
        <f>Coordinates!AG63</f>
        <v>14.990222819551791</v>
      </c>
      <c r="Q63" s="14">
        <f t="shared" si="17"/>
        <v>4.294789814985732</v>
      </c>
      <c r="R63" s="14">
        <f>(((TAN(RADIANS(Coordinates!AH63)))*3)*2)+D63</f>
        <v>4.0615317933915183</v>
      </c>
      <c r="S63" s="11">
        <v>50</v>
      </c>
      <c r="T63" s="11">
        <v>10</v>
      </c>
      <c r="U63" s="11">
        <v>2</v>
      </c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2"/>
    </row>
    <row r="64" spans="1:55" ht="15" customHeight="1" x14ac:dyDescent="0.45">
      <c r="A64" s="13">
        <v>62</v>
      </c>
      <c r="B64" s="11">
        <f>Coordinates!E64</f>
        <v>274.65173435878756</v>
      </c>
      <c r="C64" s="14">
        <f t="shared" si="9"/>
        <v>82.700811490358959</v>
      </c>
      <c r="D64" s="14">
        <v>2.2999999999999998</v>
      </c>
      <c r="E64" s="11">
        <v>0</v>
      </c>
      <c r="F64" s="11">
        <f t="shared" si="10"/>
        <v>1</v>
      </c>
      <c r="G64" s="11">
        <f t="shared" si="11"/>
        <v>4.8226499683673755E-4</v>
      </c>
      <c r="H64" s="11"/>
      <c r="I64" s="11">
        <f>Values!T64</f>
        <v>2</v>
      </c>
      <c r="J64" s="11">
        <f t="shared" si="12"/>
        <v>81.900811490358961</v>
      </c>
      <c r="K64" s="11">
        <f t="shared" si="13"/>
        <v>2.4125993583220553</v>
      </c>
      <c r="L64" s="11">
        <f t="shared" si="14"/>
        <v>2</v>
      </c>
      <c r="M64" s="11">
        <f t="shared" si="15"/>
        <v>10.424910073716879</v>
      </c>
      <c r="N64" s="11">
        <f t="shared" si="16"/>
        <v>10.615024731251626</v>
      </c>
      <c r="O64" s="11"/>
      <c r="P64" s="14">
        <f>Coordinates!AG64</f>
        <v>16.08697662784903</v>
      </c>
      <c r="Q64" s="14">
        <f t="shared" si="17"/>
        <v>3.9876701557196141</v>
      </c>
      <c r="R64" s="14">
        <f>(((TAN(RADIANS(Coordinates!AH64)))*3)*2)+D64</f>
        <v>4.1972002471619154</v>
      </c>
      <c r="S64" s="11">
        <v>50</v>
      </c>
      <c r="T64" s="11">
        <v>10</v>
      </c>
      <c r="U64" s="11">
        <v>2</v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2"/>
    </row>
    <row r="65" spans="1:55" ht="15" customHeight="1" x14ac:dyDescent="0.45">
      <c r="A65" s="13">
        <v>63</v>
      </c>
      <c r="B65" s="11">
        <f>Coordinates!E65</f>
        <v>253.46751925319742</v>
      </c>
      <c r="C65" s="14">
        <f t="shared" si="9"/>
        <v>75.776075670588156</v>
      </c>
      <c r="D65" s="14">
        <v>2.2999999999999998</v>
      </c>
      <c r="E65" s="11">
        <v>0</v>
      </c>
      <c r="F65" s="11">
        <f t="shared" si="10"/>
        <v>1</v>
      </c>
      <c r="G65" s="11">
        <f t="shared" si="11"/>
        <v>5.7096425971428836E-4</v>
      </c>
      <c r="H65" s="11"/>
      <c r="I65" s="11">
        <f>Values!T65</f>
        <v>2</v>
      </c>
      <c r="J65" s="11">
        <f t="shared" si="12"/>
        <v>74.976075670588159</v>
      </c>
      <c r="K65" s="11">
        <f t="shared" si="13"/>
        <v>2.4226281963519134</v>
      </c>
      <c r="L65" s="11">
        <f t="shared" si="14"/>
        <v>2</v>
      </c>
      <c r="M65" s="11">
        <f t="shared" si="15"/>
        <v>10.526209090031115</v>
      </c>
      <c r="N65" s="11">
        <f t="shared" si="16"/>
        <v>10.714526485433394</v>
      </c>
      <c r="O65" s="11"/>
      <c r="P65" s="14">
        <f>Coordinates!AG65</f>
        <v>17.471037824207659</v>
      </c>
      <c r="Q65" s="14">
        <f t="shared" si="17"/>
        <v>3.6537730407201834</v>
      </c>
      <c r="R65" s="14">
        <f>(((TAN(RADIANS(Coordinates!AH65)))*3)*2)+D65</f>
        <v>4.3705743681168148</v>
      </c>
      <c r="S65" s="11">
        <v>50</v>
      </c>
      <c r="T65" s="11">
        <v>10</v>
      </c>
      <c r="U65" s="11">
        <v>2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2"/>
    </row>
    <row r="66" spans="1:55" ht="15" customHeight="1" x14ac:dyDescent="0.45">
      <c r="A66" s="13">
        <v>64</v>
      </c>
      <c r="B66" s="11">
        <f>Coordinates!E66</f>
        <v>232.73109443359735</v>
      </c>
      <c r="C66" s="14">
        <f t="shared" si="9"/>
        <v>68.942582316349998</v>
      </c>
      <c r="D66" s="14">
        <v>2.2999999999999998</v>
      </c>
      <c r="E66" s="11">
        <v>0</v>
      </c>
      <c r="F66" s="11">
        <f t="shared" si="10"/>
        <v>1</v>
      </c>
      <c r="G66" s="11">
        <f t="shared" si="11"/>
        <v>6.8386701603913346E-4</v>
      </c>
      <c r="H66" s="11"/>
      <c r="I66" s="11">
        <f>Values!T66</f>
        <v>2</v>
      </c>
      <c r="J66" s="11">
        <f t="shared" si="12"/>
        <v>68.142582316350001</v>
      </c>
      <c r="K66" s="11">
        <f t="shared" si="13"/>
        <v>2.4344464837058495</v>
      </c>
      <c r="L66" s="11">
        <f t="shared" si="14"/>
        <v>2</v>
      </c>
      <c r="M66" s="11">
        <f t="shared" si="15"/>
        <v>10.652464658498243</v>
      </c>
      <c r="N66" s="11">
        <f t="shared" si="16"/>
        <v>10.838588621243732</v>
      </c>
      <c r="O66" s="11"/>
      <c r="P66" s="14">
        <f>Coordinates!AG66</f>
        <v>19.082552108251065</v>
      </c>
      <c r="Q66" s="14">
        <f t="shared" si="17"/>
        <v>3.3242754576017819</v>
      </c>
      <c r="R66" s="14">
        <f>(((TAN(RADIANS(Coordinates!AH66)))*3)*2)+D66</f>
        <v>4.5758068341572775</v>
      </c>
      <c r="S66" s="11">
        <v>50</v>
      </c>
      <c r="T66" s="11">
        <v>10</v>
      </c>
      <c r="U66" s="11">
        <v>2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2"/>
    </row>
    <row r="67" spans="1:55" ht="15" customHeight="1" x14ac:dyDescent="0.45">
      <c r="A67" s="13">
        <v>65</v>
      </c>
      <c r="B67" s="11">
        <f>Coordinates!E67</f>
        <v>214.37084250723092</v>
      </c>
      <c r="C67" s="14">
        <f t="shared" ref="C67:C82" si="18">((S67/2)/(TAN(RADIANS(P67))))-Q67</f>
        <v>62.832246190843783</v>
      </c>
      <c r="D67" s="14">
        <v>2.2999999999999998</v>
      </c>
      <c r="E67" s="11">
        <v>0</v>
      </c>
      <c r="F67" s="11">
        <f t="shared" ref="F67:F98" si="19">COS(E67)^3</f>
        <v>1</v>
      </c>
      <c r="G67" s="11">
        <f t="shared" ref="G67:G98" si="20">100*(K67*K67*F67/(16*B67*B67))</f>
        <v>8.1444479263772856E-4</v>
      </c>
      <c r="H67" s="11"/>
      <c r="I67" s="11">
        <f>Values!T67</f>
        <v>2</v>
      </c>
      <c r="J67" s="11">
        <f t="shared" ref="J67:J82" si="21">C67-0.8</f>
        <v>62.032246190843786</v>
      </c>
      <c r="K67" s="11">
        <f t="shared" ref="K67:K82" si="22">SQRT(D67*(D67+((2*TAN(RADIANS(P67)))/2.5)))</f>
        <v>2.4471271283693641</v>
      </c>
      <c r="L67" s="11">
        <f t="shared" ref="L67:L82" si="23">I67</f>
        <v>2</v>
      </c>
      <c r="M67" s="11">
        <f t="shared" ref="M67:M82" si="24">K67*(B67+C67)/C67</f>
        <v>10.796227089517773</v>
      </c>
      <c r="N67" s="11">
        <f t="shared" ref="N67:N98" si="25">SQRT(L67*L67+M67*M67)</f>
        <v>10.97991436070598</v>
      </c>
      <c r="O67" s="11"/>
      <c r="P67" s="14">
        <f>Coordinates!AG67</f>
        <v>20.785868660128905</v>
      </c>
      <c r="Q67" s="14">
        <f t="shared" ref="Q67:Q98" si="26">(D67/2)/(TAN(RADIANS(P67)))</f>
        <v>3.0296470909631172</v>
      </c>
      <c r="R67" s="14">
        <f>(((TAN(RADIANS(Coordinates!AH67)))*3)*2)+D67</f>
        <v>4.7971254333871682</v>
      </c>
      <c r="S67" s="11">
        <v>50</v>
      </c>
      <c r="T67" s="11">
        <v>10</v>
      </c>
      <c r="U67" s="11">
        <v>2</v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2"/>
    </row>
    <row r="68" spans="1:55" ht="15" customHeight="1" x14ac:dyDescent="0.45">
      <c r="A68" s="13">
        <v>66</v>
      </c>
      <c r="B68" s="11">
        <f>Coordinates!E68</f>
        <v>199.93874817416858</v>
      </c>
      <c r="C68" s="14">
        <f t="shared" si="18"/>
        <v>57.977630449821568</v>
      </c>
      <c r="D68" s="14">
        <v>2.2999999999999998</v>
      </c>
      <c r="E68" s="11">
        <v>0</v>
      </c>
      <c r="F68" s="11">
        <f t="shared" si="19"/>
        <v>1</v>
      </c>
      <c r="G68" s="11">
        <f t="shared" si="20"/>
        <v>9.4540908808358472E-4</v>
      </c>
      <c r="H68" s="11"/>
      <c r="I68" s="11">
        <f>Values!T68</f>
        <v>2</v>
      </c>
      <c r="J68" s="11">
        <f t="shared" si="21"/>
        <v>57.177630449821571</v>
      </c>
      <c r="K68" s="11">
        <f t="shared" si="22"/>
        <v>2.4590470953503933</v>
      </c>
      <c r="L68" s="11">
        <f t="shared" si="23"/>
        <v>2</v>
      </c>
      <c r="M68" s="11">
        <f t="shared" si="24"/>
        <v>10.939193560998097</v>
      </c>
      <c r="N68" s="11">
        <f t="shared" si="25"/>
        <v>11.120519581610484</v>
      </c>
      <c r="O68" s="11"/>
      <c r="P68" s="14">
        <f>Coordinates!AG68</f>
        <v>22.360577959830703</v>
      </c>
      <c r="Q68" s="14">
        <f t="shared" si="26"/>
        <v>2.7955670866790272</v>
      </c>
      <c r="R68" s="14">
        <f>(((TAN(RADIANS(Coordinates!AH68)))*3)*2)+D68</f>
        <v>5.0062161523795572</v>
      </c>
      <c r="S68" s="11">
        <v>50</v>
      </c>
      <c r="T68" s="11">
        <v>10</v>
      </c>
      <c r="U68" s="11">
        <v>2</v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2"/>
    </row>
    <row r="69" spans="1:55" ht="15" customHeight="1" x14ac:dyDescent="0.45">
      <c r="A69" s="13">
        <v>67</v>
      </c>
      <c r="B69" s="11">
        <f>Coordinates!E69</f>
        <v>190.57443933364613</v>
      </c>
      <c r="C69" s="14">
        <f t="shared" si="18"/>
        <v>54.797151179694914</v>
      </c>
      <c r="D69" s="14">
        <v>2.2999999999999998</v>
      </c>
      <c r="E69" s="11">
        <v>0</v>
      </c>
      <c r="F69" s="11">
        <f t="shared" si="19"/>
        <v>1</v>
      </c>
      <c r="G69" s="11">
        <f t="shared" si="20"/>
        <v>1.0481615675950896E-3</v>
      </c>
      <c r="H69" s="11"/>
      <c r="I69" s="11">
        <f>Values!T69</f>
        <v>2</v>
      </c>
      <c r="J69" s="11">
        <f t="shared" si="21"/>
        <v>53.997151179694917</v>
      </c>
      <c r="K69" s="11">
        <f t="shared" si="22"/>
        <v>2.4679636448356206</v>
      </c>
      <c r="L69" s="11">
        <f t="shared" si="23"/>
        <v>2</v>
      </c>
      <c r="M69" s="11">
        <f t="shared" si="24"/>
        <v>11.051088456708161</v>
      </c>
      <c r="N69" s="11">
        <f t="shared" si="25"/>
        <v>11.230608001261034</v>
      </c>
      <c r="O69" s="11"/>
      <c r="P69" s="14">
        <f>Coordinates!AG69</f>
        <v>23.520679479305834</v>
      </c>
      <c r="Q69" s="14">
        <f t="shared" si="26"/>
        <v>2.6422106438846602</v>
      </c>
      <c r="R69" s="14">
        <f>(((TAN(RADIANS(Coordinates!AH69)))*3)*2)+D69</f>
        <v>5.1632875363443951</v>
      </c>
      <c r="S69" s="11">
        <v>50</v>
      </c>
      <c r="T69" s="11">
        <v>10</v>
      </c>
      <c r="U69" s="11">
        <v>2</v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2"/>
    </row>
    <row r="70" spans="1:55" ht="15" customHeight="1" x14ac:dyDescent="0.45">
      <c r="A70" s="13">
        <v>68</v>
      </c>
      <c r="B70" s="11">
        <f>Coordinates!E70</f>
        <v>186.98849879246583</v>
      </c>
      <c r="C70" s="14">
        <f t="shared" si="18"/>
        <v>53.571762152255161</v>
      </c>
      <c r="D70" s="14">
        <v>2.2999999999999998</v>
      </c>
      <c r="E70" s="11">
        <v>0</v>
      </c>
      <c r="F70" s="11">
        <f t="shared" si="19"/>
        <v>1</v>
      </c>
      <c r="G70" s="11">
        <f t="shared" si="20"/>
        <v>1.0920233710217005E-3</v>
      </c>
      <c r="H70" s="11"/>
      <c r="I70" s="11">
        <f>Values!T70</f>
        <v>2</v>
      </c>
      <c r="J70" s="11">
        <f t="shared" si="21"/>
        <v>52.771762152255164</v>
      </c>
      <c r="K70" s="11">
        <f t="shared" si="22"/>
        <v>2.4716720856946162</v>
      </c>
      <c r="L70" s="11">
        <f t="shared" si="23"/>
        <v>2</v>
      </c>
      <c r="M70" s="11">
        <f t="shared" si="24"/>
        <v>11.098871084632595</v>
      </c>
      <c r="N70" s="11">
        <f t="shared" si="25"/>
        <v>11.277630041515527</v>
      </c>
      <c r="O70" s="11"/>
      <c r="P70" s="14">
        <f>Coordinates!AG70</f>
        <v>23.998495777841512</v>
      </c>
      <c r="Q70" s="14">
        <f t="shared" si="26"/>
        <v>2.5831247997942737</v>
      </c>
      <c r="R70" s="14">
        <f>(((TAN(RADIANS(Coordinates!AH70)))*3)*2)+D70</f>
        <v>5.2287817629384268</v>
      </c>
      <c r="S70" s="11">
        <v>50</v>
      </c>
      <c r="T70" s="11">
        <v>10</v>
      </c>
      <c r="U70" s="11">
        <v>2</v>
      </c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2"/>
    </row>
    <row r="71" spans="1:55" ht="15" customHeight="1" x14ac:dyDescent="0.45">
      <c r="A71" s="13">
        <v>69</v>
      </c>
      <c r="B71" s="11">
        <f>Coordinates!E71</f>
        <v>189.43283011384273</v>
      </c>
      <c r="C71" s="14">
        <f t="shared" si="18"/>
        <v>54.407518077103731</v>
      </c>
      <c r="D71" s="14">
        <v>2.2999999999999998</v>
      </c>
      <c r="E71" s="11">
        <v>0</v>
      </c>
      <c r="F71" s="11">
        <f t="shared" si="19"/>
        <v>1</v>
      </c>
      <c r="G71" s="11">
        <f t="shared" si="20"/>
        <v>1.0618319239014281E-3</v>
      </c>
      <c r="H71" s="11"/>
      <c r="I71" s="11">
        <f>Values!T71</f>
        <v>2</v>
      </c>
      <c r="J71" s="11">
        <f t="shared" si="21"/>
        <v>53.607518077103734</v>
      </c>
      <c r="K71" s="11">
        <f t="shared" si="22"/>
        <v>2.4691252919197915</v>
      </c>
      <c r="L71" s="11">
        <f t="shared" si="23"/>
        <v>2</v>
      </c>
      <c r="M71" s="11">
        <f t="shared" si="24"/>
        <v>11.065977500674927</v>
      </c>
      <c r="N71" s="11">
        <f t="shared" si="25"/>
        <v>11.245259358745075</v>
      </c>
      <c r="O71" s="11"/>
      <c r="P71" s="14">
        <f>Coordinates!AG71</f>
        <v>23.67065249103387</v>
      </c>
      <c r="Q71" s="14">
        <f t="shared" si="26"/>
        <v>2.623423303508146</v>
      </c>
      <c r="R71" s="14">
        <f>(((TAN(RADIANS(Coordinates!AH71)))*3)*2)+D71</f>
        <v>5.1837926364817601</v>
      </c>
      <c r="S71" s="11">
        <v>50</v>
      </c>
      <c r="T71" s="11">
        <v>10</v>
      </c>
      <c r="U71" s="11">
        <v>2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2"/>
    </row>
    <row r="72" spans="1:55" ht="15" customHeight="1" x14ac:dyDescent="0.45">
      <c r="A72" s="13">
        <v>70</v>
      </c>
      <c r="B72" s="11">
        <f>Coordinates!E72</f>
        <v>196.99022739730009</v>
      </c>
      <c r="C72" s="14">
        <f t="shared" si="18"/>
        <v>56.979059522021117</v>
      </c>
      <c r="D72" s="14">
        <v>2.2999999999999998</v>
      </c>
      <c r="E72" s="11">
        <v>0</v>
      </c>
      <c r="F72" s="11">
        <f t="shared" si="19"/>
        <v>1</v>
      </c>
      <c r="G72" s="11">
        <f t="shared" si="20"/>
        <v>9.7605886890429424E-4</v>
      </c>
      <c r="H72" s="11"/>
      <c r="I72" s="11">
        <f>Values!T72</f>
        <v>2</v>
      </c>
      <c r="J72" s="11">
        <f t="shared" si="21"/>
        <v>56.17905952202112</v>
      </c>
      <c r="K72" s="11">
        <f t="shared" si="22"/>
        <v>2.4617428139957194</v>
      </c>
      <c r="L72" s="11">
        <f t="shared" si="23"/>
        <v>2</v>
      </c>
      <c r="M72" s="11">
        <f t="shared" si="24"/>
        <v>10.972576105922345</v>
      </c>
      <c r="N72" s="11">
        <f t="shared" si="25"/>
        <v>11.15335942217671</v>
      </c>
      <c r="O72" s="11"/>
      <c r="P72" s="14">
        <f>Coordinates!AG72</f>
        <v>22.712958340784315</v>
      </c>
      <c r="Q72" s="14">
        <f t="shared" si="26"/>
        <v>2.7474179643741836</v>
      </c>
      <c r="R72" s="14">
        <f>(((TAN(RADIANS(Coordinates!AH72)))*3)*2)+D72</f>
        <v>5.0536432035941496</v>
      </c>
      <c r="S72" s="11">
        <v>50</v>
      </c>
      <c r="T72" s="11">
        <v>10</v>
      </c>
      <c r="U72" s="11">
        <v>2</v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2"/>
    </row>
    <row r="73" spans="1:55" ht="15" customHeight="1" x14ac:dyDescent="0.45">
      <c r="A73" s="13">
        <v>71</v>
      </c>
      <c r="B73" s="11">
        <f>Coordinates!E73</f>
        <v>208.1366191241666</v>
      </c>
      <c r="C73" s="14">
        <f t="shared" si="18"/>
        <v>60.741524539105065</v>
      </c>
      <c r="D73" s="14">
        <v>2.2999999999999998</v>
      </c>
      <c r="E73" s="11">
        <v>0</v>
      </c>
      <c r="F73" s="11">
        <f t="shared" si="19"/>
        <v>1</v>
      </c>
      <c r="G73" s="11">
        <f t="shared" si="20"/>
        <v>8.6743318414598375E-4</v>
      </c>
      <c r="H73" s="11"/>
      <c r="I73" s="11">
        <f>Values!T73</f>
        <v>2</v>
      </c>
      <c r="J73" s="11">
        <f t="shared" si="21"/>
        <v>59.941524539105068</v>
      </c>
      <c r="K73" s="11">
        <f t="shared" si="22"/>
        <v>2.4520340872505826</v>
      </c>
      <c r="L73" s="11">
        <f t="shared" si="23"/>
        <v>2</v>
      </c>
      <c r="M73" s="11">
        <f t="shared" si="24"/>
        <v>10.854162429764973</v>
      </c>
      <c r="N73" s="11">
        <f t="shared" si="25"/>
        <v>11.036885523177336</v>
      </c>
      <c r="O73" s="11"/>
      <c r="P73" s="14">
        <f>Coordinates!AG73</f>
        <v>21.437323572318309</v>
      </c>
      <c r="Q73" s="14">
        <f t="shared" si="26"/>
        <v>2.9288366129966801</v>
      </c>
      <c r="R73" s="14">
        <f>(((TAN(RADIANS(Coordinates!AH73)))*3)*2)+D73</f>
        <v>4.8830764240859414</v>
      </c>
      <c r="S73" s="11">
        <v>50</v>
      </c>
      <c r="T73" s="11">
        <v>10</v>
      </c>
      <c r="U73" s="11">
        <v>2</v>
      </c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2"/>
    </row>
    <row r="74" spans="1:55" ht="15" customHeight="1" x14ac:dyDescent="0.45">
      <c r="A74" s="13">
        <v>72</v>
      </c>
      <c r="B74" s="11">
        <f>Coordinates!E74</f>
        <v>220.94817055306794</v>
      </c>
      <c r="C74" s="14">
        <f t="shared" si="18"/>
        <v>65.028733114332397</v>
      </c>
      <c r="D74" s="14">
        <v>2.2999999999999998</v>
      </c>
      <c r="E74" s="11">
        <v>0</v>
      </c>
      <c r="F74" s="11">
        <f t="shared" si="19"/>
        <v>1</v>
      </c>
      <c r="G74" s="11">
        <f t="shared" si="20"/>
        <v>7.6365641974039883E-4</v>
      </c>
      <c r="H74" s="11"/>
      <c r="I74" s="11">
        <f>Values!T74</f>
        <v>2</v>
      </c>
      <c r="J74" s="11">
        <f t="shared" si="21"/>
        <v>64.2287331143324</v>
      </c>
      <c r="K74" s="11">
        <f t="shared" si="22"/>
        <v>2.4423022232841571</v>
      </c>
      <c r="L74" s="11">
        <f t="shared" si="23"/>
        <v>2</v>
      </c>
      <c r="M74" s="11">
        <f t="shared" si="24"/>
        <v>10.740514141753652</v>
      </c>
      <c r="N74" s="11">
        <f t="shared" si="25"/>
        <v>10.92513816979951</v>
      </c>
      <c r="O74" s="11"/>
      <c r="P74" s="14">
        <f>Coordinates!AG74</f>
        <v>20.141065168987346</v>
      </c>
      <c r="Q74" s="14">
        <f t="shared" si="26"/>
        <v>3.1355573619070132</v>
      </c>
      <c r="R74" s="14">
        <f>(((TAN(RADIANS(Coordinates!AH74)))*3)*2)+D74</f>
        <v>4.712779589664482</v>
      </c>
      <c r="S74" s="11">
        <v>50</v>
      </c>
      <c r="T74" s="11">
        <v>10</v>
      </c>
      <c r="U74" s="11">
        <v>2</v>
      </c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2"/>
    </row>
    <row r="75" spans="1:55" ht="15" customHeight="1" x14ac:dyDescent="0.45">
      <c r="A75" s="13">
        <v>73</v>
      </c>
      <c r="B75" s="11">
        <f>Coordinates!E75</f>
        <v>233.3333932172892</v>
      </c>
      <c r="C75" s="14">
        <f t="shared" si="18"/>
        <v>69.141984211777583</v>
      </c>
      <c r="D75" s="14">
        <v>2.2999999999999998</v>
      </c>
      <c r="E75" s="11">
        <v>0</v>
      </c>
      <c r="F75" s="11">
        <f t="shared" si="19"/>
        <v>1</v>
      </c>
      <c r="G75" s="11">
        <f t="shared" si="20"/>
        <v>6.8013033547457719E-4</v>
      </c>
      <c r="H75" s="11"/>
      <c r="I75" s="11">
        <f>Values!T75</f>
        <v>2</v>
      </c>
      <c r="J75" s="11">
        <f t="shared" si="21"/>
        <v>68.341984211777586</v>
      </c>
      <c r="K75" s="11">
        <f t="shared" si="22"/>
        <v>2.4340694245332308</v>
      </c>
      <c r="L75" s="11">
        <f t="shared" si="23"/>
        <v>2</v>
      </c>
      <c r="M75" s="11">
        <f t="shared" si="24"/>
        <v>10.648321367508988</v>
      </c>
      <c r="N75" s="11">
        <f t="shared" si="25"/>
        <v>10.834516507244265</v>
      </c>
      <c r="O75" s="11"/>
      <c r="P75" s="14">
        <f>Coordinates!AG75</f>
        <v>19.031483632559436</v>
      </c>
      <c r="Q75" s="14">
        <f t="shared" si="26"/>
        <v>3.3338902240479755</v>
      </c>
      <c r="R75" s="14">
        <f>(((TAN(RADIANS(Coordinates!AH75)))*3)*2)+D75</f>
        <v>4.5692435253148815</v>
      </c>
      <c r="S75" s="11">
        <v>50</v>
      </c>
      <c r="T75" s="11">
        <v>10</v>
      </c>
      <c r="U75" s="11">
        <v>2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2"/>
    </row>
    <row r="76" spans="1:55" ht="15" customHeight="1" x14ac:dyDescent="0.45">
      <c r="A76" s="13">
        <v>74</v>
      </c>
      <c r="B76" s="11">
        <f>Coordinates!E76</f>
        <v>243.57250565047363</v>
      </c>
      <c r="C76" s="14">
        <f t="shared" si="18"/>
        <v>72.523027324148345</v>
      </c>
      <c r="D76" s="14">
        <v>2.2999999999999998</v>
      </c>
      <c r="E76" s="11">
        <v>0</v>
      </c>
      <c r="F76" s="11">
        <f t="shared" si="19"/>
        <v>1</v>
      </c>
      <c r="G76" s="11">
        <f t="shared" si="20"/>
        <v>6.210334425664736E-4</v>
      </c>
      <c r="H76" s="11"/>
      <c r="I76" s="11">
        <f>Values!T76</f>
        <v>2</v>
      </c>
      <c r="J76" s="11">
        <f t="shared" si="21"/>
        <v>71.723027324148347</v>
      </c>
      <c r="K76" s="11">
        <f t="shared" si="22"/>
        <v>2.4279835995178911</v>
      </c>
      <c r="L76" s="11">
        <f t="shared" si="23"/>
        <v>2</v>
      </c>
      <c r="M76" s="11">
        <f t="shared" si="24"/>
        <v>10.582497701219086</v>
      </c>
      <c r="N76" s="11">
        <f t="shared" si="25"/>
        <v>10.769830899150982</v>
      </c>
      <c r="O76" s="11"/>
      <c r="P76" s="14">
        <f>Coordinates!AG76</f>
        <v>18.204022349783326</v>
      </c>
      <c r="Q76" s="14">
        <f t="shared" si="26"/>
        <v>3.4969174600742385</v>
      </c>
      <c r="R76" s="14">
        <f>(((TAN(RADIANS(Coordinates!AH76)))*3)*2)+D76</f>
        <v>4.4634507795533818</v>
      </c>
      <c r="S76" s="11">
        <v>50</v>
      </c>
      <c r="T76" s="11">
        <v>10</v>
      </c>
      <c r="U76" s="11">
        <v>2</v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2"/>
    </row>
    <row r="77" spans="1:55" ht="15" customHeight="1" x14ac:dyDescent="0.45">
      <c r="A77" s="13">
        <v>75</v>
      </c>
      <c r="B77" s="11">
        <f>Coordinates!E77</f>
        <v>250.80840920682863</v>
      </c>
      <c r="C77" s="14">
        <f t="shared" si="18"/>
        <v>74.90315784053459</v>
      </c>
      <c r="D77" s="14">
        <v>2.2999999999999998</v>
      </c>
      <c r="E77" s="11">
        <v>0</v>
      </c>
      <c r="F77" s="11">
        <f t="shared" si="19"/>
        <v>1</v>
      </c>
      <c r="G77" s="11">
        <f t="shared" si="20"/>
        <v>5.8380591294812754E-4</v>
      </c>
      <c r="H77" s="11"/>
      <c r="I77" s="11">
        <f>Values!T77</f>
        <v>2</v>
      </c>
      <c r="J77" s="11">
        <f t="shared" si="21"/>
        <v>74.103157840534593</v>
      </c>
      <c r="K77" s="11">
        <f t="shared" si="22"/>
        <v>2.4240207302345103</v>
      </c>
      <c r="L77" s="11">
        <f t="shared" si="23"/>
        <v>2</v>
      </c>
      <c r="M77" s="11">
        <f t="shared" si="24"/>
        <v>10.54069832784424</v>
      </c>
      <c r="N77" s="11">
        <f t="shared" si="25"/>
        <v>10.728761402818982</v>
      </c>
      <c r="O77" s="11"/>
      <c r="P77" s="14">
        <f>Coordinates!AG77</f>
        <v>17.662054770199966</v>
      </c>
      <c r="Q77" s="14">
        <f t="shared" si="26"/>
        <v>3.6116826631704302</v>
      </c>
      <c r="R77" s="14">
        <f>(((TAN(RADIANS(Coordinates!AH77)))*3)*2)+D77</f>
        <v>4.3947047430768258</v>
      </c>
      <c r="S77" s="11">
        <v>50</v>
      </c>
      <c r="T77" s="11">
        <v>10</v>
      </c>
      <c r="U77" s="11">
        <v>2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2"/>
    </row>
    <row r="78" spans="1:55" ht="15" customHeight="1" x14ac:dyDescent="0.45">
      <c r="A78" s="13">
        <v>76</v>
      </c>
      <c r="B78" s="11">
        <f>Coordinates!E78</f>
        <v>255.16443254045029</v>
      </c>
      <c r="C78" s="14">
        <f t="shared" si="18"/>
        <v>76.332661146866826</v>
      </c>
      <c r="D78" s="14">
        <v>2.2999999999999998</v>
      </c>
      <c r="E78" s="11">
        <v>0</v>
      </c>
      <c r="F78" s="11">
        <f t="shared" si="19"/>
        <v>1</v>
      </c>
      <c r="G78" s="11">
        <f t="shared" si="20"/>
        <v>5.6299001939728226E-4</v>
      </c>
      <c r="H78" s="11"/>
      <c r="I78" s="11">
        <f>Values!T78</f>
        <v>2</v>
      </c>
      <c r="J78" s="11">
        <f t="shared" si="21"/>
        <v>75.532661146866829</v>
      </c>
      <c r="K78" s="11">
        <f t="shared" si="22"/>
        <v>2.4217565166408157</v>
      </c>
      <c r="L78" s="11">
        <f t="shared" si="23"/>
        <v>2</v>
      </c>
      <c r="M78" s="11">
        <f t="shared" si="24"/>
        <v>10.517191917888526</v>
      </c>
      <c r="N78" s="11">
        <f t="shared" si="25"/>
        <v>10.705667930479617</v>
      </c>
      <c r="O78" s="11"/>
      <c r="P78" s="14">
        <f>Coordinates!AG78</f>
        <v>17.351318962989911</v>
      </c>
      <c r="Q78" s="14">
        <f t="shared" si="26"/>
        <v>3.6806104955512304</v>
      </c>
      <c r="R78" s="14">
        <f>(((TAN(RADIANS(Coordinates!AH78)))*3)*2)+D78</f>
        <v>4.3554766156798674</v>
      </c>
      <c r="S78" s="11">
        <v>50</v>
      </c>
      <c r="T78" s="11">
        <v>10</v>
      </c>
      <c r="U78" s="11">
        <v>2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2"/>
    </row>
    <row r="79" spans="1:55" ht="15" customHeight="1" x14ac:dyDescent="0.45">
      <c r="A79" s="13">
        <v>77</v>
      </c>
      <c r="B79" s="11">
        <f>Coordinates!E79</f>
        <v>257.48995074029585</v>
      </c>
      <c r="C79" s="14">
        <f t="shared" si="18"/>
        <v>77.094853118342996</v>
      </c>
      <c r="D79" s="14">
        <v>2.2999999999999998</v>
      </c>
      <c r="E79" s="11">
        <v>0</v>
      </c>
      <c r="F79" s="11">
        <f t="shared" si="19"/>
        <v>1</v>
      </c>
      <c r="G79" s="11">
        <f t="shared" si="20"/>
        <v>5.5233087301989853E-4</v>
      </c>
      <c r="H79" s="11"/>
      <c r="I79" s="11">
        <f>Values!T79</f>
        <v>2</v>
      </c>
      <c r="J79" s="11">
        <f t="shared" si="21"/>
        <v>76.294853118342999</v>
      </c>
      <c r="K79" s="11">
        <f t="shared" si="22"/>
        <v>2.4205827559169513</v>
      </c>
      <c r="L79" s="11">
        <f t="shared" si="23"/>
        <v>2</v>
      </c>
      <c r="M79" s="11">
        <f t="shared" si="24"/>
        <v>10.505113815689745</v>
      </c>
      <c r="N79" s="11">
        <f t="shared" si="25"/>
        <v>10.69380270439826</v>
      </c>
      <c r="O79" s="11"/>
      <c r="P79" s="14">
        <f>Coordinates!AG79</f>
        <v>17.189932554202649</v>
      </c>
      <c r="Q79" s="14">
        <f t="shared" si="26"/>
        <v>3.7173618904022829</v>
      </c>
      <c r="R79" s="14">
        <f>(((TAN(RADIANS(Coordinates!AH79)))*3)*2)+D79</f>
        <v>4.3351553139241812</v>
      </c>
      <c r="S79" s="11">
        <v>50</v>
      </c>
      <c r="T79" s="11">
        <v>10</v>
      </c>
      <c r="U79" s="11">
        <v>2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2"/>
    </row>
    <row r="80" spans="1:55" ht="15" customHeight="1" x14ac:dyDescent="0.45">
      <c r="A80" s="13">
        <v>78</v>
      </c>
      <c r="B80" s="11">
        <f>Coordinates!E80</f>
        <v>258.94151696568474</v>
      </c>
      <c r="C80" s="14">
        <f t="shared" si="18"/>
        <v>77.570276742787186</v>
      </c>
      <c r="D80" s="14">
        <v>2.2999999999999998</v>
      </c>
      <c r="E80" s="11">
        <v>0</v>
      </c>
      <c r="F80" s="11">
        <f t="shared" si="19"/>
        <v>1</v>
      </c>
      <c r="G80" s="11">
        <f t="shared" si="20"/>
        <v>5.4583055742181733E-4</v>
      </c>
      <c r="H80" s="11"/>
      <c r="I80" s="11">
        <f>Values!T80</f>
        <v>2</v>
      </c>
      <c r="J80" s="11">
        <f t="shared" si="21"/>
        <v>76.770276742787189</v>
      </c>
      <c r="K80" s="11">
        <f t="shared" si="22"/>
        <v>2.4198620120262486</v>
      </c>
      <c r="L80" s="11">
        <f t="shared" si="23"/>
        <v>2</v>
      </c>
      <c r="M80" s="11">
        <f t="shared" si="24"/>
        <v>10.497733673093579</v>
      </c>
      <c r="N80" s="11">
        <f t="shared" si="25"/>
        <v>10.686552871305265</v>
      </c>
      <c r="O80" s="11"/>
      <c r="P80" s="14">
        <f>Coordinates!AG80</f>
        <v>17.090732873065239</v>
      </c>
      <c r="Q80" s="14">
        <f t="shared" si="26"/>
        <v>3.7402858806794654</v>
      </c>
      <c r="R80" s="14">
        <f>(((TAN(RADIANS(Coordinates!AH80)))*3)*2)+D80</f>
        <v>4.3226819677369424</v>
      </c>
      <c r="S80" s="11">
        <v>50</v>
      </c>
      <c r="T80" s="11">
        <v>10</v>
      </c>
      <c r="U80" s="11">
        <v>2</v>
      </c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2"/>
    </row>
    <row r="81" spans="1:55" ht="15" customHeight="1" x14ac:dyDescent="0.45">
      <c r="A81" s="13">
        <v>79</v>
      </c>
      <c r="B81" s="11">
        <f>Coordinates!E81</f>
        <v>260.61697099362118</v>
      </c>
      <c r="C81" s="14">
        <f t="shared" si="18"/>
        <v>78.118721621072226</v>
      </c>
      <c r="D81" s="14">
        <v>2.2999999999999998</v>
      </c>
      <c r="E81" s="11">
        <v>0</v>
      </c>
      <c r="F81" s="11">
        <f t="shared" si="19"/>
        <v>1</v>
      </c>
      <c r="G81" s="11">
        <f t="shared" si="20"/>
        <v>5.3846956703251239E-4</v>
      </c>
      <c r="H81" s="11"/>
      <c r="I81" s="11">
        <f>Values!T81</f>
        <v>2</v>
      </c>
      <c r="J81" s="11">
        <f t="shared" si="21"/>
        <v>77.318721621072228</v>
      </c>
      <c r="K81" s="11">
        <f t="shared" si="22"/>
        <v>2.4190412036356861</v>
      </c>
      <c r="L81" s="11">
        <f t="shared" si="23"/>
        <v>2</v>
      </c>
      <c r="M81" s="11">
        <f t="shared" si="24"/>
        <v>10.489362608258318</v>
      </c>
      <c r="N81" s="11">
        <f t="shared" si="25"/>
        <v>10.678329828560633</v>
      </c>
      <c r="O81" s="11"/>
      <c r="P81" s="14">
        <f>Coordinates!AG81</f>
        <v>16.977668103600728</v>
      </c>
      <c r="Q81" s="14">
        <f t="shared" si="26"/>
        <v>3.7667308119175282</v>
      </c>
      <c r="R81" s="14">
        <f>(((TAN(RADIANS(Coordinates!AH81)))*3)*2)+D81</f>
        <v>4.3084814080940719</v>
      </c>
      <c r="S81" s="11">
        <v>50</v>
      </c>
      <c r="T81" s="11">
        <v>10</v>
      </c>
      <c r="U81" s="11">
        <v>2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2"/>
    </row>
    <row r="82" spans="1:55" ht="15" customHeight="1" x14ac:dyDescent="0.45">
      <c r="A82" s="13">
        <v>80</v>
      </c>
      <c r="B82" s="11">
        <f>Coordinates!E82</f>
        <v>263.34405499932973</v>
      </c>
      <c r="C82" s="14">
        <f t="shared" si="18"/>
        <v>79.010720545979495</v>
      </c>
      <c r="D82" s="14">
        <v>2.2999999999999998</v>
      </c>
      <c r="E82" s="11">
        <v>0</v>
      </c>
      <c r="F82" s="11">
        <f t="shared" si="19"/>
        <v>1</v>
      </c>
      <c r="G82" s="11">
        <f t="shared" si="20"/>
        <v>5.2680340690836297E-4</v>
      </c>
      <c r="H82" s="11"/>
      <c r="I82" s="11">
        <f>Values!T82</f>
        <v>2</v>
      </c>
      <c r="J82" s="11">
        <f t="shared" si="21"/>
        <v>78.210720545979498</v>
      </c>
      <c r="K82" s="11">
        <f t="shared" si="22"/>
        <v>2.4177299888311619</v>
      </c>
      <c r="L82" s="11">
        <f t="shared" si="23"/>
        <v>2</v>
      </c>
      <c r="M82" s="11">
        <f t="shared" si="24"/>
        <v>10.476064538277072</v>
      </c>
      <c r="N82" s="11">
        <f t="shared" si="25"/>
        <v>10.665267376402076</v>
      </c>
      <c r="O82" s="11"/>
      <c r="P82" s="14">
        <f>Coordinates!AG82</f>
        <v>16.796847853239179</v>
      </c>
      <c r="Q82" s="14">
        <f t="shared" si="26"/>
        <v>3.8097412422589687</v>
      </c>
      <c r="R82" s="14">
        <f>(((TAN(RADIANS(Coordinates!AH82)))*3)*2)+D82</f>
        <v>4.2858064692460767</v>
      </c>
      <c r="S82" s="11">
        <v>50</v>
      </c>
      <c r="T82" s="11">
        <v>10</v>
      </c>
      <c r="U82" s="11">
        <v>2</v>
      </c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2"/>
    </row>
    <row r="83" spans="1:55" ht="15" customHeight="1" x14ac:dyDescent="0.45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8"/>
    </row>
    <row r="84" spans="1:55" ht="15" customHeight="1" x14ac:dyDescent="0.45">
      <c r="A84" s="1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7"/>
    </row>
    <row r="85" spans="1:55" ht="15" customHeight="1" x14ac:dyDescent="0.45">
      <c r="A85" s="2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2"/>
    </row>
    <row r="86" spans="1:55" ht="15" customHeight="1" x14ac:dyDescent="0.45">
      <c r="A86" s="2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2"/>
    </row>
    <row r="87" spans="1:55" ht="15" customHeight="1" x14ac:dyDescent="0.45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8"/>
    </row>
  </sheetData>
  <pageMargins left="0.7" right="0.7" top="0.75" bottom="0.75" header="0.3" footer="0.3"/>
  <pageSetup orientation="portrait"/>
  <headerFooter>
    <oddFooter>&amp;C&amp;"Helvetica,Regular"&amp;12&amp;K000000&amp;P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Y87"/>
  <sheetViews>
    <sheetView showGridLines="0" tabSelected="1" topLeftCell="B1" workbookViewId="0">
      <selection activeCell="L3" sqref="L3:N82"/>
    </sheetView>
  </sheetViews>
  <sheetFormatPr defaultColWidth="8.796875" defaultRowHeight="15" customHeight="1" x14ac:dyDescent="0.45"/>
  <cols>
    <col min="1" max="1" width="9.46484375" style="1" customWidth="1"/>
    <col min="2" max="4" width="12.46484375" style="1" customWidth="1"/>
    <col min="5" max="5" width="13.86328125" style="1" customWidth="1"/>
    <col min="6" max="8" width="12.46484375" style="1" customWidth="1"/>
    <col min="9" max="14" width="14.46484375" style="1" customWidth="1"/>
    <col min="15" max="15" width="12.46484375" style="1" customWidth="1"/>
    <col min="16" max="18" width="12.86328125" style="1" customWidth="1"/>
    <col min="19" max="19" width="11.6640625" style="1" customWidth="1"/>
    <col min="20" max="20" width="13.46484375" style="1" customWidth="1"/>
    <col min="21" max="21" width="11.6640625" style="1" customWidth="1"/>
    <col min="22" max="28" width="13.46484375" style="1" customWidth="1"/>
    <col min="29" max="29" width="14.19921875" style="1" customWidth="1"/>
    <col min="30" max="35" width="13.46484375" style="1" customWidth="1"/>
    <col min="36" max="36" width="8.86328125" style="1" customWidth="1"/>
    <col min="37" max="37" width="22.6640625" style="1" customWidth="1"/>
    <col min="38" max="259" width="8.86328125" style="1" customWidth="1"/>
  </cols>
  <sheetData>
    <row r="1" spans="1:42" ht="15" customHeight="1" x14ac:dyDescent="0.45">
      <c r="A1" s="2"/>
      <c r="B1" s="3" t="s">
        <v>40</v>
      </c>
      <c r="C1" s="3" t="s">
        <v>41</v>
      </c>
      <c r="D1" s="3" t="s">
        <v>42</v>
      </c>
      <c r="E1" s="3" t="s">
        <v>0</v>
      </c>
      <c r="F1" s="3" t="s">
        <v>43</v>
      </c>
      <c r="G1" s="3" t="s">
        <v>1</v>
      </c>
      <c r="H1" s="3" t="s">
        <v>44</v>
      </c>
      <c r="I1" s="3" t="s">
        <v>45</v>
      </c>
      <c r="J1" s="3" t="s">
        <v>46</v>
      </c>
      <c r="K1" s="3" t="s">
        <v>47</v>
      </c>
      <c r="L1" s="3"/>
      <c r="M1" s="3"/>
      <c r="N1" s="3"/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21"/>
      <c r="AK1" s="22"/>
      <c r="AL1" s="22"/>
      <c r="AM1" s="22"/>
      <c r="AN1" s="22"/>
      <c r="AO1" s="22"/>
      <c r="AP1" s="22"/>
    </row>
    <row r="2" spans="1:42" ht="60" customHeight="1" x14ac:dyDescent="0.45">
      <c r="A2" s="23" t="s">
        <v>20</v>
      </c>
      <c r="B2" s="9" t="s">
        <v>56</v>
      </c>
      <c r="C2" s="9" t="s">
        <v>57</v>
      </c>
      <c r="D2" s="9" t="s">
        <v>58</v>
      </c>
      <c r="E2" s="9" t="s">
        <v>21</v>
      </c>
      <c r="F2" s="9" t="s">
        <v>59</v>
      </c>
      <c r="G2" s="9" t="s">
        <v>22</v>
      </c>
      <c r="H2" s="10"/>
      <c r="I2" s="9" t="s">
        <v>60</v>
      </c>
      <c r="J2" s="9" t="s">
        <v>61</v>
      </c>
      <c r="K2" s="9" t="s">
        <v>62</v>
      </c>
      <c r="L2" s="9" t="s">
        <v>172</v>
      </c>
      <c r="M2" s="9" t="s">
        <v>173</v>
      </c>
      <c r="N2" s="9" t="s">
        <v>174</v>
      </c>
      <c r="O2" s="10"/>
      <c r="P2" s="9" t="s">
        <v>63</v>
      </c>
      <c r="Q2" s="9" t="s">
        <v>64</v>
      </c>
      <c r="R2" s="9" t="s">
        <v>65</v>
      </c>
      <c r="S2" s="9" t="s">
        <v>66</v>
      </c>
      <c r="T2" s="9" t="s">
        <v>67</v>
      </c>
      <c r="U2" s="9" t="s">
        <v>68</v>
      </c>
      <c r="V2" s="9" t="s">
        <v>69</v>
      </c>
      <c r="W2" s="10"/>
      <c r="X2" s="9" t="s">
        <v>70</v>
      </c>
      <c r="Y2" s="9" t="s">
        <v>71</v>
      </c>
      <c r="Z2" s="9" t="s">
        <v>72</v>
      </c>
      <c r="AA2" s="9" t="s">
        <v>73</v>
      </c>
      <c r="AB2" s="9" t="s">
        <v>74</v>
      </c>
      <c r="AC2" s="9" t="s">
        <v>75</v>
      </c>
      <c r="AD2" s="9" t="s">
        <v>76</v>
      </c>
      <c r="AE2" s="9" t="s">
        <v>77</v>
      </c>
      <c r="AF2" s="9" t="s">
        <v>78</v>
      </c>
      <c r="AG2" s="9" t="s">
        <v>79</v>
      </c>
      <c r="AH2" s="9" t="s">
        <v>80</v>
      </c>
      <c r="AI2" s="9"/>
      <c r="AJ2" s="24" t="s">
        <v>81</v>
      </c>
      <c r="AK2" s="25"/>
      <c r="AL2" s="22"/>
      <c r="AM2" s="22"/>
      <c r="AN2" s="22"/>
      <c r="AO2" s="22"/>
      <c r="AP2" s="22"/>
    </row>
    <row r="3" spans="1:42" ht="15" customHeight="1" x14ac:dyDescent="0.45">
      <c r="A3" s="13">
        <v>1</v>
      </c>
      <c r="B3" s="14">
        <f>'MDSL cloud import'!C3</f>
        <v>277.00200000000001</v>
      </c>
      <c r="C3" s="14">
        <f>'MDSL cloud import'!D3</f>
        <v>70.37124</v>
      </c>
      <c r="D3" s="14">
        <f>'MDSL cloud import'!E3</f>
        <v>-70.036299999999997</v>
      </c>
      <c r="E3" s="11">
        <f t="shared" ref="E3:E34" si="0">SQRT((B3^2)+(C3^2)+(D3^2))</f>
        <v>294.25720507886905</v>
      </c>
      <c r="F3" s="11">
        <f t="shared" ref="F3:F34" si="1">SQRT((1)+((C3/B3)^2)+(D3/B3)^2)</f>
        <v>1.0622927093626366</v>
      </c>
      <c r="G3" s="11">
        <f>Main!C3</f>
        <v>89.070206162964965</v>
      </c>
      <c r="H3" s="11">
        <f>E3+G3+Main!T3</f>
        <v>393.327411241834</v>
      </c>
      <c r="I3" s="11">
        <f>H3/F3*SIGN(B3)</f>
        <v>370.26274187443676</v>
      </c>
      <c r="J3" s="11">
        <f>I3*C3/B3</f>
        <v>94.063755032469217</v>
      </c>
      <c r="K3" s="11">
        <f t="shared" ref="K3:K34" si="2">I3*D3/B3</f>
        <v>-93.616047785722174</v>
      </c>
      <c r="L3" s="11">
        <f>(H3-Main!T3)/F3*SIGN(B3)</f>
        <v>360.84914060252379</v>
      </c>
      <c r="M3" s="11">
        <f>L3*C3/B3</f>
        <v>91.672267626710081</v>
      </c>
      <c r="N3" s="11">
        <f>L3*D3/B3</f>
        <v>-91.235942938969885</v>
      </c>
      <c r="O3" s="11">
        <f t="shared" ref="O3:O34" si="3">(H3)/2</f>
        <v>196.663705620917</v>
      </c>
      <c r="P3" s="11">
        <f t="shared" ref="P3:P34" si="4">O3/F3*SIGN(B3)</f>
        <v>185.13137093721838</v>
      </c>
      <c r="Q3" s="11">
        <f t="shared" ref="Q3:Q34" si="5">P3*C3/B3</f>
        <v>47.031877516234609</v>
      </c>
      <c r="R3" s="11">
        <f t="shared" ref="R3:R34" si="6">P3*D3/B3</f>
        <v>-46.808023892861087</v>
      </c>
      <c r="S3" s="11">
        <f t="shared" ref="S3:S34" si="7">DEGREES(ATAN((ABS(C3))/(ABS(B3))))</f>
        <v>14.254215271792646</v>
      </c>
      <c r="T3" s="11">
        <f t="shared" ref="T3:T9" si="8">S3+180</f>
        <v>194.25421527179265</v>
      </c>
      <c r="U3" s="11">
        <f t="shared" ref="U3:U34" si="9">90-DEGREES(ACOS(ABS(D3/E3)))</f>
        <v>13.7691472530895</v>
      </c>
      <c r="V3" s="11">
        <f t="shared" ref="V3:V42" si="10">-U3</f>
        <v>-13.7691472530895</v>
      </c>
      <c r="W3" s="11"/>
      <c r="X3" s="14">
        <f t="shared" ref="X3:X34" si="11">SQRT(SUMSQ(B3,C3))</f>
        <v>285.80101368458719</v>
      </c>
      <c r="Y3" s="14">
        <f t="shared" ref="Y3:Y34" si="12">(ATAN2(B3,C3))</f>
        <v>0.24878298878084007</v>
      </c>
      <c r="Z3" s="14">
        <f t="shared" ref="Z3:Z34" si="13">(ATAN2(X3,D3))</f>
        <v>-0.24031695475834478</v>
      </c>
      <c r="AA3" s="14">
        <f>-Main!D3/2*SIN(ABS(Z3))+X3</f>
        <v>285.5273016272107</v>
      </c>
      <c r="AB3" s="14">
        <f>Main!D3/2*COS(ABS(Z3))*SIGN(Z3)+D3</f>
        <v>-71.153251972846959</v>
      </c>
      <c r="AC3" s="14">
        <f t="shared" ref="AC3:AC34" si="14">ATAN2(AA3,AB3)</f>
        <v>-0.24422508045696498</v>
      </c>
      <c r="AD3" s="14">
        <f t="shared" ref="AD3:AD34" si="15">SQRT(SUMSQ(AA3,AB3))</f>
        <v>294.25945225400596</v>
      </c>
      <c r="AE3" s="14">
        <f>'MDSL cloud import'!H2/2</f>
        <v>75</v>
      </c>
      <c r="AF3" s="14">
        <f t="shared" ref="AF3:AF34" si="16">(ASIN(AE3/AD3))</f>
        <v>0.25772061811014635</v>
      </c>
      <c r="AG3" s="14">
        <f t="shared" ref="AG3:AG34" si="17">DEGREES(AF3+ABS(AC3-Z3))</f>
        <v>14.990222819551791</v>
      </c>
      <c r="AH3" s="14">
        <f>DEGREES(ATAN((Main!S3/2+Main!D3/2)/Main!C3))</f>
        <v>16.361639265585648</v>
      </c>
      <c r="AI3" s="14">
        <f t="shared" ref="AI3:AI34" si="18">A3</f>
        <v>1</v>
      </c>
      <c r="AJ3" s="26">
        <f>Main!S3*(G3-Main!T3)/G3/25</f>
        <v>1.7754580250616292</v>
      </c>
      <c r="AK3" s="27" t="s">
        <v>82</v>
      </c>
      <c r="AL3" s="21"/>
      <c r="AM3" s="22"/>
      <c r="AN3" s="22"/>
      <c r="AO3" s="22"/>
      <c r="AP3" s="28" t="s">
        <v>83</v>
      </c>
    </row>
    <row r="4" spans="1:42" ht="15" customHeight="1" x14ac:dyDescent="0.45">
      <c r="A4" s="13">
        <v>2</v>
      </c>
      <c r="B4" s="14">
        <f>'MDSL cloud import'!C4</f>
        <v>242.88310000000001</v>
      </c>
      <c r="C4" s="14">
        <f>'MDSL cloud import'!D4</f>
        <v>107.2608</v>
      </c>
      <c r="D4" s="14">
        <f>'MDSL cloud import'!E4</f>
        <v>-70.260199999999998</v>
      </c>
      <c r="E4" s="11">
        <f t="shared" si="0"/>
        <v>274.65173435878756</v>
      </c>
      <c r="F4" s="11">
        <f t="shared" si="1"/>
        <v>1.1307980438276173</v>
      </c>
      <c r="G4" s="11">
        <f>Main!C4</f>
        <v>82.700811490358959</v>
      </c>
      <c r="H4" s="11">
        <f>E4+G4+Main!T4</f>
        <v>367.35254584914651</v>
      </c>
      <c r="I4" s="11">
        <f t="shared" ref="I3:I34" si="19">H4/F4*SIGN(B4)</f>
        <v>324.86132059947829</v>
      </c>
      <c r="J4" s="11">
        <f t="shared" ref="J3:J34" si="20">I4*C4/B4</f>
        <v>143.46360506991437</v>
      </c>
      <c r="K4" s="11">
        <f t="shared" si="2"/>
        <v>-93.974514314019629</v>
      </c>
      <c r="L4" s="11">
        <f>(H4-Main!T4)/F4*SIGN(B4)</f>
        <v>316.01800852038133</v>
      </c>
      <c r="M4" s="11">
        <f t="shared" ref="M4:M67" si="21">L4*C4/B4</f>
        <v>139.55826654181752</v>
      </c>
      <c r="N4" s="11">
        <f t="shared" ref="N4:N67" si="22">L4*D4/B4</f>
        <v>-91.41635824906588</v>
      </c>
      <c r="O4" s="11">
        <f t="shared" si="3"/>
        <v>183.67627292457325</v>
      </c>
      <c r="P4" s="11">
        <f t="shared" si="4"/>
        <v>162.43066029973915</v>
      </c>
      <c r="Q4" s="11">
        <f t="shared" si="5"/>
        <v>71.731802534957183</v>
      </c>
      <c r="R4" s="11">
        <f t="shared" si="6"/>
        <v>-46.987257157009815</v>
      </c>
      <c r="S4" s="11">
        <f t="shared" si="7"/>
        <v>23.826968362455574</v>
      </c>
      <c r="T4" s="11">
        <f t="shared" si="8"/>
        <v>203.82696836245557</v>
      </c>
      <c r="U4" s="11">
        <f t="shared" si="9"/>
        <v>14.821919032253746</v>
      </c>
      <c r="V4" s="11">
        <f t="shared" si="10"/>
        <v>-14.821919032253746</v>
      </c>
      <c r="W4" s="11"/>
      <c r="X4" s="14">
        <f t="shared" si="11"/>
        <v>265.51286123698418</v>
      </c>
      <c r="Y4" s="14">
        <f t="shared" si="12"/>
        <v>0.41585904869337142</v>
      </c>
      <c r="Z4" s="14">
        <f t="shared" si="13"/>
        <v>-0.25869128857683948</v>
      </c>
      <c r="AA4" s="14">
        <f>-Main!D4/2*SIN(ABS(Z4))+X4</f>
        <v>265.21867328951447</v>
      </c>
      <c r="AB4" s="14">
        <f>Main!D4/2*COS(ABS(Z4))*SIGN(Z4)+D4</f>
        <v>-71.37193443392006</v>
      </c>
      <c r="AC4" s="14">
        <f t="shared" si="14"/>
        <v>-0.26287838494512866</v>
      </c>
      <c r="AD4" s="14">
        <f t="shared" si="15"/>
        <v>274.65414194271676</v>
      </c>
      <c r="AE4" s="14">
        <f t="shared" ref="AE4:AE35" si="23">AE3</f>
        <v>75</v>
      </c>
      <c r="AF4" s="14">
        <f t="shared" si="16"/>
        <v>0.27658361247905089</v>
      </c>
      <c r="AG4" s="14">
        <f t="shared" si="17"/>
        <v>16.08697662784903</v>
      </c>
      <c r="AH4" s="14">
        <f>DEGREES(ATAN((Main!S4/2+Main!D4/2)/Main!C4))</f>
        <v>17.546956497413191</v>
      </c>
      <c r="AI4" s="14">
        <f t="shared" si="18"/>
        <v>2</v>
      </c>
      <c r="AJ4" s="26">
        <f>Main!S4*(G4-Main!T4)/G4/25</f>
        <v>1.7581644044408011</v>
      </c>
      <c r="AK4" s="29" t="s">
        <v>84</v>
      </c>
      <c r="AL4" s="21"/>
      <c r="AM4" s="22"/>
      <c r="AN4" s="22"/>
      <c r="AO4" s="22"/>
      <c r="AP4" s="22"/>
    </row>
    <row r="5" spans="1:42" ht="15" customHeight="1" x14ac:dyDescent="0.45">
      <c r="A5" s="13">
        <v>3</v>
      </c>
      <c r="B5" s="14">
        <f>'MDSL cloud import'!C5</f>
        <v>201.33260000000001</v>
      </c>
      <c r="C5" s="14">
        <f>'MDSL cloud import'!D5</f>
        <v>136.87</v>
      </c>
      <c r="D5" s="14">
        <f>'MDSL cloud import'!E5</f>
        <v>-70.551900000000003</v>
      </c>
      <c r="E5" s="11">
        <f t="shared" si="0"/>
        <v>253.46751925319742</v>
      </c>
      <c r="F5" s="11">
        <f t="shared" si="1"/>
        <v>1.2589492176289256</v>
      </c>
      <c r="G5" s="11">
        <f>Main!C5</f>
        <v>75.776075670588156</v>
      </c>
      <c r="H5" s="11">
        <f>E5+G5+Main!T5</f>
        <v>339.24359492378557</v>
      </c>
      <c r="I5" s="11">
        <f t="shared" si="19"/>
        <v>269.46567039670487</v>
      </c>
      <c r="J5" s="11">
        <f t="shared" si="20"/>
        <v>183.18824823797533</v>
      </c>
      <c r="K5" s="11">
        <f t="shared" si="2"/>
        <v>-94.427405354429837</v>
      </c>
      <c r="L5" s="11">
        <f>(H5-Main!T5)/F5*SIGN(B5)</f>
        <v>261.52253825128463</v>
      </c>
      <c r="M5" s="11">
        <f t="shared" si="21"/>
        <v>177.78834530748287</v>
      </c>
      <c r="N5" s="11">
        <f t="shared" si="22"/>
        <v>-91.643936284788495</v>
      </c>
      <c r="O5" s="11">
        <f t="shared" si="3"/>
        <v>169.62179746189278</v>
      </c>
      <c r="P5" s="11">
        <f t="shared" si="4"/>
        <v>134.73283519835243</v>
      </c>
      <c r="Q5" s="11">
        <f t="shared" si="5"/>
        <v>91.594124118987665</v>
      </c>
      <c r="R5" s="11">
        <f t="shared" si="6"/>
        <v>-47.213702677214918</v>
      </c>
      <c r="S5" s="11">
        <f t="shared" si="7"/>
        <v>34.208663259544267</v>
      </c>
      <c r="T5" s="11">
        <f t="shared" si="8"/>
        <v>214.20866325954427</v>
      </c>
      <c r="U5" s="11">
        <f t="shared" si="9"/>
        <v>16.16156770017561</v>
      </c>
      <c r="V5" s="11">
        <f t="shared" si="10"/>
        <v>-16.16156770017561</v>
      </c>
      <c r="W5" s="11"/>
      <c r="X5" s="14">
        <f t="shared" si="11"/>
        <v>243.45063713771628</v>
      </c>
      <c r="Y5" s="14">
        <f t="shared" si="12"/>
        <v>0.59705380658506302</v>
      </c>
      <c r="Z5" s="14">
        <f t="shared" si="13"/>
        <v>-0.28207256865203217</v>
      </c>
      <c r="AA5" s="14">
        <f>-Main!D5/2*SIN(ABS(Z5))+X5</f>
        <v>243.13053819470753</v>
      </c>
      <c r="AB5" s="14">
        <f>Main!D5/2*COS(ABS(Z5))*SIGN(Z5)+D5</f>
        <v>-71.656452699822282</v>
      </c>
      <c r="AC5" s="14">
        <f t="shared" si="14"/>
        <v>-0.28660960800352697</v>
      </c>
      <c r="AD5" s="14">
        <f t="shared" si="15"/>
        <v>253.47012805529965</v>
      </c>
      <c r="AE5" s="14">
        <f t="shared" si="23"/>
        <v>75</v>
      </c>
      <c r="AF5" s="14">
        <f t="shared" si="16"/>
        <v>0.30039009442139514</v>
      </c>
      <c r="AG5" s="14">
        <f t="shared" si="17"/>
        <v>17.471037824207659</v>
      </c>
      <c r="AH5" s="14">
        <f>DEGREES(ATAN((Main!S5/2+Main!D5/2)/Main!C5))</f>
        <v>19.039335630153449</v>
      </c>
      <c r="AI5" s="14">
        <f t="shared" si="18"/>
        <v>3</v>
      </c>
      <c r="AJ5" s="21">
        <f>Main!S5*(G5-Main!T5)/G5/25</f>
        <v>1.7360644527575761</v>
      </c>
      <c r="AK5" s="30"/>
      <c r="AL5" s="22"/>
      <c r="AM5" s="22"/>
      <c r="AN5" s="22"/>
      <c r="AO5" s="22"/>
      <c r="AP5" s="22"/>
    </row>
    <row r="6" spans="1:42" ht="15" customHeight="1" x14ac:dyDescent="0.45">
      <c r="A6" s="13">
        <v>4</v>
      </c>
      <c r="B6" s="14">
        <f>'MDSL cloud import'!C6</f>
        <v>155.0181</v>
      </c>
      <c r="C6" s="14">
        <f>'MDSL cloud import'!D6</f>
        <v>158.44730000000001</v>
      </c>
      <c r="D6" s="14">
        <f>'MDSL cloud import'!E6</f>
        <v>-70.905600000000007</v>
      </c>
      <c r="E6" s="11">
        <f t="shared" si="0"/>
        <v>232.73109443359735</v>
      </c>
      <c r="F6" s="11">
        <f t="shared" si="1"/>
        <v>1.5013156169092341</v>
      </c>
      <c r="G6" s="11">
        <f>Main!C6</f>
        <v>68.942582316349998</v>
      </c>
      <c r="H6" s="11">
        <f>E6+G6+Main!T6</f>
        <v>311.67367674994733</v>
      </c>
      <c r="I6" s="11">
        <f t="shared" si="19"/>
        <v>207.60036946234629</v>
      </c>
      <c r="J6" s="11">
        <f t="shared" si="20"/>
        <v>212.19275697683833</v>
      </c>
      <c r="K6" s="11">
        <f t="shared" si="2"/>
        <v>-94.956838955898334</v>
      </c>
      <c r="L6" s="11">
        <f>(H6-Main!T6)/F6*SIGN(B6)</f>
        <v>200.9395448579989</v>
      </c>
      <c r="M6" s="11">
        <f t="shared" si="21"/>
        <v>205.38458635461802</v>
      </c>
      <c r="N6" s="11">
        <f t="shared" si="22"/>
        <v>-91.910163986549492</v>
      </c>
      <c r="O6" s="11">
        <f t="shared" si="3"/>
        <v>155.83683837497367</v>
      </c>
      <c r="P6" s="11">
        <f t="shared" si="4"/>
        <v>103.80018473117315</v>
      </c>
      <c r="Q6" s="11">
        <f t="shared" si="5"/>
        <v>106.09637848841916</v>
      </c>
      <c r="R6" s="11">
        <f t="shared" si="6"/>
        <v>-47.478419477949167</v>
      </c>
      <c r="S6" s="11">
        <f t="shared" si="7"/>
        <v>45.626770449794734</v>
      </c>
      <c r="T6" s="11">
        <f t="shared" si="8"/>
        <v>225.62677044979472</v>
      </c>
      <c r="U6" s="11">
        <f t="shared" si="9"/>
        <v>17.738160850228653</v>
      </c>
      <c r="V6" s="11">
        <f t="shared" si="10"/>
        <v>-17.738160850228653</v>
      </c>
      <c r="W6" s="11"/>
      <c r="X6" s="14">
        <f t="shared" si="11"/>
        <v>221.66677289323272</v>
      </c>
      <c r="Y6" s="14">
        <f t="shared" si="12"/>
        <v>0.79633737140057215</v>
      </c>
      <c r="Z6" s="14">
        <f t="shared" si="13"/>
        <v>-0.3095893100848468</v>
      </c>
      <c r="AA6" s="14">
        <f>-Main!D6/2*SIN(ABS(Z6))+X6</f>
        <v>221.31640527175759</v>
      </c>
      <c r="AB6" s="14">
        <f>Main!D6/2*COS(ABS(Z6))*SIGN(Z6)+D6</f>
        <v>-72.00092759018564</v>
      </c>
      <c r="AC6" s="14">
        <f t="shared" si="14"/>
        <v>-0.31453059497504698</v>
      </c>
      <c r="AD6" s="14">
        <f t="shared" si="15"/>
        <v>232.73393567819025</v>
      </c>
      <c r="AE6" s="14">
        <f t="shared" si="23"/>
        <v>75</v>
      </c>
      <c r="AF6" s="14">
        <f t="shared" si="16"/>
        <v>0.32811207908216627</v>
      </c>
      <c r="AG6" s="14">
        <f t="shared" si="17"/>
        <v>19.082552108251065</v>
      </c>
      <c r="AH6" s="14">
        <f>DEGREES(ATAN((Main!S6/2+Main!D6/2)/Main!C6))</f>
        <v>20.771793569984617</v>
      </c>
      <c r="AI6" s="14">
        <f t="shared" si="18"/>
        <v>4</v>
      </c>
      <c r="AJ6" s="21">
        <f>Main!S6*(G6-Main!T6)/G6/25</f>
        <v>1.7099035265573896</v>
      </c>
      <c r="AK6" s="22"/>
      <c r="AL6" s="22"/>
      <c r="AM6" s="22"/>
      <c r="AN6" s="22"/>
      <c r="AO6" s="22"/>
      <c r="AP6" s="22"/>
    </row>
    <row r="7" spans="1:42" ht="15" customHeight="1" x14ac:dyDescent="0.45">
      <c r="A7" s="13">
        <v>5</v>
      </c>
      <c r="B7" s="14">
        <f>'MDSL cloud import'!C7</f>
        <v>106.2709</v>
      </c>
      <c r="C7" s="14">
        <f>'MDSL cloud import'!D7</f>
        <v>171.95910000000001</v>
      </c>
      <c r="D7" s="14">
        <f>'MDSL cloud import'!E7</f>
        <v>-71.354200000000006</v>
      </c>
      <c r="E7" s="11">
        <f t="shared" si="0"/>
        <v>214.37084250723092</v>
      </c>
      <c r="F7" s="11">
        <f t="shared" si="1"/>
        <v>2.0172111321841717</v>
      </c>
      <c r="G7" s="11">
        <f>Main!C7</f>
        <v>62.832246190843783</v>
      </c>
      <c r="H7" s="11">
        <f>E7+G7+Main!T7</f>
        <v>287.20308869807468</v>
      </c>
      <c r="I7" s="11">
        <f t="shared" si="19"/>
        <v>142.37631555557616</v>
      </c>
      <c r="J7" s="11">
        <f t="shared" si="20"/>
        <v>230.38200565020978</v>
      </c>
      <c r="K7" s="11">
        <f t="shared" si="2"/>
        <v>-95.596707051654704</v>
      </c>
      <c r="L7" s="11">
        <f>(H7-Main!T7)/F7*SIGN(B7)</f>
        <v>137.41897626646946</v>
      </c>
      <c r="M7" s="11">
        <f t="shared" si="21"/>
        <v>222.360434340007</v>
      </c>
      <c r="N7" s="11">
        <f t="shared" si="22"/>
        <v>-92.26816669768408</v>
      </c>
      <c r="O7" s="11">
        <f t="shared" si="3"/>
        <v>143.60154434903734</v>
      </c>
      <c r="P7" s="11">
        <f t="shared" si="4"/>
        <v>71.188157777788078</v>
      </c>
      <c r="Q7" s="11">
        <f t="shared" si="5"/>
        <v>115.19100282510489</v>
      </c>
      <c r="R7" s="11">
        <f t="shared" si="6"/>
        <v>-47.798353525827352</v>
      </c>
      <c r="S7" s="11">
        <f t="shared" si="7"/>
        <v>58.283892287086502</v>
      </c>
      <c r="T7" s="11">
        <f t="shared" si="8"/>
        <v>238.2838922870865</v>
      </c>
      <c r="U7" s="11">
        <f t="shared" si="9"/>
        <v>19.442095667132492</v>
      </c>
      <c r="V7" s="11">
        <f t="shared" si="10"/>
        <v>-19.442095667132492</v>
      </c>
      <c r="W7" s="11"/>
      <c r="X7" s="14">
        <f t="shared" si="11"/>
        <v>202.14706591889976</v>
      </c>
      <c r="Y7" s="14">
        <f t="shared" si="12"/>
        <v>1.0172458212873876</v>
      </c>
      <c r="Z7" s="14">
        <f t="shared" si="13"/>
        <v>-0.33932858287918538</v>
      </c>
      <c r="AA7" s="14">
        <f>-Main!D7/2*SIN(ABS(Z7))+X7</f>
        <v>201.76428377819315</v>
      </c>
      <c r="AB7" s="14">
        <f>Main!D7/2*COS(ABS(Z7))*SIGN(Z7)+D7</f>
        <v>-72.438625116251032</v>
      </c>
      <c r="AC7" s="14">
        <f t="shared" si="14"/>
        <v>-0.34469306694372176</v>
      </c>
      <c r="AD7" s="14">
        <f t="shared" si="15"/>
        <v>214.37392709296532</v>
      </c>
      <c r="AE7" s="14">
        <f t="shared" si="23"/>
        <v>75</v>
      </c>
      <c r="AF7" s="14">
        <f t="shared" si="16"/>
        <v>0.35741736194181523</v>
      </c>
      <c r="AG7" s="14">
        <f t="shared" si="17"/>
        <v>20.785868660128905</v>
      </c>
      <c r="AH7" s="14">
        <f>DEGREES(ATAN((Main!S7/2+Main!D7/2)/Main!C7))</f>
        <v>22.596471545226422</v>
      </c>
      <c r="AI7" s="14">
        <f t="shared" si="18"/>
        <v>5</v>
      </c>
      <c r="AJ7" s="21">
        <f>Main!S7*(G7-Main!T7)/G7/25</f>
        <v>1.6816921053681111</v>
      </c>
      <c r="AK7" s="22"/>
      <c r="AL7" s="22"/>
      <c r="AM7" s="22"/>
      <c r="AN7" s="22"/>
      <c r="AO7" s="22"/>
      <c r="AP7" s="22"/>
    </row>
    <row r="8" spans="1:42" ht="15" customHeight="1" x14ac:dyDescent="0.45">
      <c r="A8" s="13">
        <v>6</v>
      </c>
      <c r="B8" s="14">
        <f>'MDSL cloud import'!C8</f>
        <v>56.740560000000002</v>
      </c>
      <c r="C8" s="14">
        <f>'MDSL cloud import'!D8</f>
        <v>177.77029999999999</v>
      </c>
      <c r="D8" s="14">
        <f>'MDSL cloud import'!E8</f>
        <v>-71.789500000000004</v>
      </c>
      <c r="E8" s="11">
        <f t="shared" si="0"/>
        <v>199.93874817416858</v>
      </c>
      <c r="F8" s="11">
        <f t="shared" si="1"/>
        <v>3.5237358985207159</v>
      </c>
      <c r="G8" s="11">
        <f>Main!C8</f>
        <v>57.977630449821568</v>
      </c>
      <c r="H8" s="11">
        <f>E8+G8+Main!T8</f>
        <v>267.91637862399017</v>
      </c>
      <c r="I8" s="11">
        <f t="shared" si="19"/>
        <v>76.031912248719593</v>
      </c>
      <c r="J8" s="11">
        <f t="shared" si="20"/>
        <v>238.21082925562519</v>
      </c>
      <c r="K8" s="11">
        <f t="shared" si="2"/>
        <v>-96.197375640625594</v>
      </c>
      <c r="L8" s="11">
        <f>(H8-Main!T8)/F8*SIGN(B8)</f>
        <v>73.194015116815336</v>
      </c>
      <c r="M8" s="11">
        <f t="shared" si="21"/>
        <v>229.31959123281118</v>
      </c>
      <c r="N8" s="11">
        <f t="shared" si="22"/>
        <v>-92.606800994361265</v>
      </c>
      <c r="O8" s="11">
        <f t="shared" si="3"/>
        <v>133.95818931199508</v>
      </c>
      <c r="P8" s="11">
        <f t="shared" si="4"/>
        <v>38.015956124359796</v>
      </c>
      <c r="Q8" s="11">
        <f t="shared" si="5"/>
        <v>119.10541462781259</v>
      </c>
      <c r="R8" s="11">
        <f t="shared" si="6"/>
        <v>-48.098687820312797</v>
      </c>
      <c r="S8" s="11">
        <f t="shared" si="7"/>
        <v>72.29800500153047</v>
      </c>
      <c r="T8" s="11">
        <f t="shared" si="8"/>
        <v>252.29800500153047</v>
      </c>
      <c r="U8" s="11">
        <f t="shared" si="9"/>
        <v>21.042322984019791</v>
      </c>
      <c r="V8" s="11">
        <f t="shared" si="10"/>
        <v>-21.042322984019791</v>
      </c>
      <c r="W8" s="11"/>
      <c r="X8" s="14">
        <f t="shared" si="11"/>
        <v>186.60592356943977</v>
      </c>
      <c r="Y8" s="14">
        <f t="shared" si="12"/>
        <v>1.2618382299000346</v>
      </c>
      <c r="Z8" s="14">
        <f t="shared" si="13"/>
        <v>-0.36725781833922355</v>
      </c>
      <c r="AA8" s="14">
        <f>-Main!D8/2*SIN(ABS(Z8))+X8</f>
        <v>186.19300748511938</v>
      </c>
      <c r="AB8" s="14">
        <f>Main!D8/2*COS(ABS(Z8))*SIGN(Z8)+D8</f>
        <v>-72.862812772359263</v>
      </c>
      <c r="AC8" s="14">
        <f t="shared" si="14"/>
        <v>-0.37300951644190961</v>
      </c>
      <c r="AD8" s="14">
        <f t="shared" si="15"/>
        <v>199.94205540969514</v>
      </c>
      <c r="AE8" s="14">
        <f t="shared" si="23"/>
        <v>75</v>
      </c>
      <c r="AF8" s="14">
        <f t="shared" si="16"/>
        <v>0.38451400994523605</v>
      </c>
      <c r="AG8" s="14">
        <f t="shared" si="17"/>
        <v>22.360577959830703</v>
      </c>
      <c r="AH8" s="14">
        <f>DEGREES(ATAN((Main!S8/2+Main!D8/2)/Main!C8))</f>
        <v>24.277089902576147</v>
      </c>
      <c r="AI8" s="14">
        <f t="shared" si="18"/>
        <v>6</v>
      </c>
      <c r="AJ8" s="21">
        <f>Main!S8*(G8-Main!T8)/G8/25</f>
        <v>1.6550393687215352</v>
      </c>
      <c r="AK8" s="22"/>
      <c r="AL8" s="22"/>
      <c r="AM8" s="22"/>
      <c r="AN8" s="22"/>
      <c r="AO8" s="22"/>
      <c r="AP8" s="22"/>
    </row>
    <row r="9" spans="1:42" ht="15" customHeight="1" x14ac:dyDescent="0.45">
      <c r="A9" s="13">
        <v>7</v>
      </c>
      <c r="B9" s="14">
        <f>'MDSL cloud import'!C9</f>
        <v>7.3514189999999999</v>
      </c>
      <c r="C9" s="14">
        <f>'MDSL cloud import'!D9</f>
        <v>176.24610000000001</v>
      </c>
      <c r="D9" s="14">
        <f>'MDSL cloud import'!E9</f>
        <v>-72.124099999999999</v>
      </c>
      <c r="E9" s="11">
        <f t="shared" si="0"/>
        <v>190.57443933364613</v>
      </c>
      <c r="F9" s="11">
        <f t="shared" si="1"/>
        <v>25.923490326649333</v>
      </c>
      <c r="G9" s="11">
        <f>Main!C9</f>
        <v>54.797151179694914</v>
      </c>
      <c r="H9" s="11">
        <f>E9+G9+Main!T9</f>
        <v>255.37159051334103</v>
      </c>
      <c r="I9" s="11">
        <f t="shared" si="19"/>
        <v>9.8509725077729673</v>
      </c>
      <c r="J9" s="11">
        <f t="shared" si="20"/>
        <v>236.17147733005089</v>
      </c>
      <c r="K9" s="11">
        <f t="shared" si="2"/>
        <v>-96.646991043207876</v>
      </c>
      <c r="L9" s="11">
        <f>(H9-Main!T9)/F9*SIGN(B9)</f>
        <v>9.4652219829017081</v>
      </c>
      <c r="M9" s="11">
        <f t="shared" si="21"/>
        <v>226.92332733594603</v>
      </c>
      <c r="N9" s="11">
        <f t="shared" si="22"/>
        <v>-92.862427895485354</v>
      </c>
      <c r="O9" s="11">
        <f t="shared" si="3"/>
        <v>127.68579525667052</v>
      </c>
      <c r="P9" s="11">
        <f t="shared" si="4"/>
        <v>4.9254862538864836</v>
      </c>
      <c r="Q9" s="11">
        <f t="shared" si="5"/>
        <v>118.08573866502545</v>
      </c>
      <c r="R9" s="11">
        <f t="shared" si="6"/>
        <v>-48.323495521603938</v>
      </c>
      <c r="S9" s="11">
        <f t="shared" si="7"/>
        <v>87.611514447242925</v>
      </c>
      <c r="T9" s="11">
        <f t="shared" si="8"/>
        <v>267.61151444724294</v>
      </c>
      <c r="U9" s="11">
        <f t="shared" si="9"/>
        <v>22.238095974166399</v>
      </c>
      <c r="V9" s="11">
        <f t="shared" si="10"/>
        <v>-22.238095974166399</v>
      </c>
      <c r="W9" s="11"/>
      <c r="X9" s="14">
        <f t="shared" si="11"/>
        <v>176.39935126446346</v>
      </c>
      <c r="Y9" s="14">
        <f t="shared" si="12"/>
        <v>1.5291093897629688</v>
      </c>
      <c r="Z9" s="14">
        <f t="shared" si="13"/>
        <v>-0.38812799412369953</v>
      </c>
      <c r="AA9" s="14">
        <f>-Main!D9/2*SIN(ABS(Z9))+X9</f>
        <v>175.96412650247538</v>
      </c>
      <c r="AB9" s="14">
        <f>Main!D9/2*COS(ABS(Z9))*SIGN(Z9)+D9</f>
        <v>-73.188562026825011</v>
      </c>
      <c r="AC9" s="14">
        <f t="shared" si="14"/>
        <v>-0.39416230830397736</v>
      </c>
      <c r="AD9" s="14">
        <f t="shared" si="15"/>
        <v>190.57790907482843</v>
      </c>
      <c r="AE9" s="14">
        <f t="shared" si="23"/>
        <v>75</v>
      </c>
      <c r="AF9" s="14">
        <f t="shared" si="16"/>
        <v>0.40447898503987445</v>
      </c>
      <c r="AG9" s="14">
        <f t="shared" si="17"/>
        <v>23.520679479305834</v>
      </c>
      <c r="AH9" s="14">
        <f>DEGREES(ATAN((Main!S9/2+Main!D9/2)/Main!C9))</f>
        <v>25.51115731489601</v>
      </c>
      <c r="AI9" s="14">
        <f t="shared" si="18"/>
        <v>7</v>
      </c>
      <c r="AJ9" s="21">
        <f>Main!S9*(G9-Main!T9)/G9/25</f>
        <v>1.6350175224545067</v>
      </c>
      <c r="AK9" s="22"/>
      <c r="AL9" s="22"/>
      <c r="AM9" s="22"/>
      <c r="AN9" s="22"/>
      <c r="AO9" s="22"/>
      <c r="AP9" s="22"/>
    </row>
    <row r="10" spans="1:42" ht="15" customHeight="1" x14ac:dyDescent="0.45">
      <c r="A10" s="13">
        <v>8</v>
      </c>
      <c r="B10" s="14">
        <f>'MDSL cloud import'!C10</f>
        <v>-41.758299999999998</v>
      </c>
      <c r="C10" s="14">
        <f>'MDSL cloud import'!D10</f>
        <v>167.3279</v>
      </c>
      <c r="D10" s="14">
        <f>'MDSL cloud import'!E10</f>
        <v>-72.265600000000006</v>
      </c>
      <c r="E10" s="11">
        <f t="shared" si="0"/>
        <v>186.98849879246583</v>
      </c>
      <c r="F10" s="11">
        <f t="shared" si="1"/>
        <v>4.4778762256237892</v>
      </c>
      <c r="G10" s="11">
        <f>Main!C10</f>
        <v>53.571762152255161</v>
      </c>
      <c r="H10" s="11">
        <f>E10+G10+Main!T10</f>
        <v>250.56026094472099</v>
      </c>
      <c r="I10" s="11">
        <f t="shared" si="19"/>
        <v>-55.955155596069822</v>
      </c>
      <c r="J10" s="11">
        <f t="shared" si="20"/>
        <v>224.21551356409651</v>
      </c>
      <c r="K10" s="11">
        <f t="shared" si="2"/>
        <v>-96.834231571767617</v>
      </c>
      <c r="L10" s="11">
        <f>(H10-Main!T10)/F10*SIGN(B10)</f>
        <v>-53.721954074603708</v>
      </c>
      <c r="M10" s="11">
        <f t="shared" si="21"/>
        <v>215.26694715062354</v>
      </c>
      <c r="N10" s="11">
        <f t="shared" si="22"/>
        <v>-92.969523289350434</v>
      </c>
      <c r="O10" s="11">
        <f t="shared" si="3"/>
        <v>125.2801304723605</v>
      </c>
      <c r="P10" s="11">
        <f t="shared" si="4"/>
        <v>-27.977577798034911</v>
      </c>
      <c r="Q10" s="11">
        <f t="shared" si="5"/>
        <v>112.10775678204826</v>
      </c>
      <c r="R10" s="11">
        <f t="shared" si="6"/>
        <v>-48.417115785883809</v>
      </c>
      <c r="S10" s="11">
        <f t="shared" si="7"/>
        <v>75.987502531244289</v>
      </c>
      <c r="T10" s="11">
        <f t="shared" ref="T10:T15" si="24">-S10</f>
        <v>-75.987502531244289</v>
      </c>
      <c r="U10" s="11">
        <f t="shared" si="9"/>
        <v>22.735081474040427</v>
      </c>
      <c r="V10" s="11">
        <f t="shared" si="10"/>
        <v>-22.735081474040427</v>
      </c>
      <c r="W10" s="11"/>
      <c r="X10" s="14">
        <f t="shared" si="11"/>
        <v>172.45979745233379</v>
      </c>
      <c r="Y10" s="14">
        <f t="shared" si="12"/>
        <v>1.815360544052055</v>
      </c>
      <c r="Z10" s="14">
        <f t="shared" si="13"/>
        <v>-0.39680202743117132</v>
      </c>
      <c r="AA10" s="14">
        <f>-Main!D10/2*SIN(ABS(Z10))+X10</f>
        <v>172.01535599985581</v>
      </c>
      <c r="AB10" s="14">
        <f>Main!D10/2*COS(ABS(Z10))*SIGN(Z10)+D10</f>
        <v>-73.326246875882489</v>
      </c>
      <c r="AC10" s="14">
        <f t="shared" si="14"/>
        <v>-0.40295206076802165</v>
      </c>
      <c r="AD10" s="14">
        <f t="shared" si="15"/>
        <v>186.99203507278057</v>
      </c>
      <c r="AE10" s="14">
        <f t="shared" si="23"/>
        <v>75</v>
      </c>
      <c r="AF10" s="14">
        <f t="shared" si="16"/>
        <v>0.41270273351244169</v>
      </c>
      <c r="AG10" s="14">
        <f t="shared" si="17"/>
        <v>23.998495777841512</v>
      </c>
      <c r="AH10" s="14">
        <f>DEGREES(ATAN((Main!S10/2+Main!D10/2)/Main!C10))</f>
        <v>26.018405019228855</v>
      </c>
      <c r="AI10" s="14">
        <f t="shared" si="18"/>
        <v>8</v>
      </c>
      <c r="AJ10" s="21">
        <f>Main!S10*(G10-Main!T10)/G10/25</f>
        <v>1.6266689913399071</v>
      </c>
      <c r="AK10" s="22"/>
      <c r="AL10" s="22"/>
      <c r="AM10" s="22"/>
      <c r="AN10" s="22"/>
      <c r="AO10" s="22"/>
      <c r="AP10" s="22"/>
    </row>
    <row r="11" spans="1:42" ht="15" customHeight="1" x14ac:dyDescent="0.45">
      <c r="A11" s="13">
        <v>9</v>
      </c>
      <c r="B11" s="14">
        <f>'MDSL cloud import'!C11</f>
        <v>-89.062299999999993</v>
      </c>
      <c r="C11" s="14">
        <f>'MDSL cloud import'!D11</f>
        <v>150.8126</v>
      </c>
      <c r="D11" s="14">
        <f>'MDSL cloud import'!E11</f>
        <v>-72.168300000000002</v>
      </c>
      <c r="E11" s="11">
        <f t="shared" si="0"/>
        <v>189.43283011384273</v>
      </c>
      <c r="F11" s="11">
        <f t="shared" si="1"/>
        <v>2.1269698864035931</v>
      </c>
      <c r="G11" s="11">
        <f>Main!C11</f>
        <v>54.407518077103731</v>
      </c>
      <c r="H11" s="11">
        <f>E11+G11+Main!T11</f>
        <v>253.84034819094646</v>
      </c>
      <c r="I11" s="11">
        <f t="shared" si="19"/>
        <v>-119.34364929827699</v>
      </c>
      <c r="J11" s="11">
        <f t="shared" si="20"/>
        <v>202.08916729257305</v>
      </c>
      <c r="K11" s="11">
        <f t="shared" si="2"/>
        <v>-96.705657563894533</v>
      </c>
      <c r="L11" s="11">
        <f>(H11-Main!T11)/F11*SIGN(B11)</f>
        <v>-114.64212528332791</v>
      </c>
      <c r="M11" s="11">
        <f t="shared" si="21"/>
        <v>194.12789680374775</v>
      </c>
      <c r="N11" s="11">
        <f t="shared" si="22"/>
        <v>-92.895953619935653</v>
      </c>
      <c r="O11" s="11">
        <f t="shared" si="3"/>
        <v>126.92017409547323</v>
      </c>
      <c r="P11" s="11">
        <f t="shared" si="4"/>
        <v>-59.671824649138493</v>
      </c>
      <c r="Q11" s="11">
        <f t="shared" si="5"/>
        <v>101.04458364628653</v>
      </c>
      <c r="R11" s="11">
        <f t="shared" si="6"/>
        <v>-48.352828781947267</v>
      </c>
      <c r="S11" s="11">
        <f t="shared" si="7"/>
        <v>59.436047949223919</v>
      </c>
      <c r="T11" s="11">
        <f t="shared" si="24"/>
        <v>-59.436047949223919</v>
      </c>
      <c r="U11" s="11">
        <f t="shared" si="9"/>
        <v>22.393804076645409</v>
      </c>
      <c r="V11" s="11">
        <f t="shared" si="10"/>
        <v>-22.393804076645409</v>
      </c>
      <c r="W11" s="11"/>
      <c r="X11" s="14">
        <f t="shared" si="11"/>
        <v>175.14717696854265</v>
      </c>
      <c r="Y11" s="14">
        <f t="shared" si="12"/>
        <v>2.1042379225026124</v>
      </c>
      <c r="Z11" s="14">
        <f t="shared" si="13"/>
        <v>-0.39084561318399108</v>
      </c>
      <c r="AA11" s="14">
        <f>-Main!D11/2*SIN(ABS(Z11))+X11</f>
        <v>174.70906101498738</v>
      </c>
      <c r="AB11" s="14">
        <f>Main!D11/2*COS(ABS(Z11))*SIGN(Z11)+D11</f>
        <v>-73.231575322407309</v>
      </c>
      <c r="AC11" s="14">
        <f t="shared" si="14"/>
        <v>-0.39691629202163808</v>
      </c>
      <c r="AD11" s="14">
        <f t="shared" si="15"/>
        <v>189.4363207648945</v>
      </c>
      <c r="AE11" s="14">
        <f t="shared" si="23"/>
        <v>75</v>
      </c>
      <c r="AF11" s="14">
        <f t="shared" si="16"/>
        <v>0.40706014322629158</v>
      </c>
      <c r="AG11" s="14">
        <f t="shared" si="17"/>
        <v>23.67065249103387</v>
      </c>
      <c r="AH11" s="14">
        <f>DEGREES(ATAN((Main!S11/2+Main!D11/2)/Main!C11))</f>
        <v>25.670433716597923</v>
      </c>
      <c r="AI11" s="14">
        <f t="shared" si="18"/>
        <v>9</v>
      </c>
      <c r="AJ11" s="21">
        <f>Main!S11*(G11-Main!T11)/G11/25</f>
        <v>1.6324037429596228</v>
      </c>
      <c r="AK11" s="22"/>
      <c r="AL11" s="22"/>
      <c r="AM11" s="22"/>
      <c r="AN11" s="22"/>
      <c r="AO11" s="22"/>
      <c r="AP11" s="22"/>
    </row>
    <row r="12" spans="1:42" ht="15" customHeight="1" x14ac:dyDescent="0.45">
      <c r="A12" s="13">
        <v>10</v>
      </c>
      <c r="B12" s="14">
        <f>'MDSL cloud import'!C12</f>
        <v>-132.36099999999999</v>
      </c>
      <c r="C12" s="14">
        <f>'MDSL cloud import'!D12</f>
        <v>126.955</v>
      </c>
      <c r="D12" s="14">
        <f>'MDSL cloud import'!E12</f>
        <v>-71.889799999999994</v>
      </c>
      <c r="E12" s="11">
        <f t="shared" si="0"/>
        <v>196.99022739730009</v>
      </c>
      <c r="F12" s="11">
        <f t="shared" si="1"/>
        <v>1.4882799872870416</v>
      </c>
      <c r="G12" s="11">
        <f>Main!C12</f>
        <v>56.979059522021117</v>
      </c>
      <c r="H12" s="11">
        <f>E12+G12+Main!T12</f>
        <v>263.96928691932123</v>
      </c>
      <c r="I12" s="11">
        <f t="shared" si="19"/>
        <v>-177.36534064434073</v>
      </c>
      <c r="J12" s="11">
        <f t="shared" si="20"/>
        <v>170.12123526946971</v>
      </c>
      <c r="K12" s="11">
        <f t="shared" si="2"/>
        <v>-96.333201364854659</v>
      </c>
      <c r="L12" s="11">
        <f>(H12-Main!T12)/F12*SIGN(B12)</f>
        <v>-170.64617483856463</v>
      </c>
      <c r="M12" s="11">
        <f t="shared" si="21"/>
        <v>163.67649932102336</v>
      </c>
      <c r="N12" s="11">
        <f t="shared" si="22"/>
        <v>-92.683791901764437</v>
      </c>
      <c r="O12" s="11">
        <f t="shared" si="3"/>
        <v>131.98464345966062</v>
      </c>
      <c r="P12" s="11">
        <f t="shared" si="4"/>
        <v>-88.682670322170367</v>
      </c>
      <c r="Q12" s="11">
        <f t="shared" si="5"/>
        <v>85.060617634734854</v>
      </c>
      <c r="R12" s="11">
        <f t="shared" si="6"/>
        <v>-48.16660068242733</v>
      </c>
      <c r="S12" s="11">
        <f t="shared" si="7"/>
        <v>43.805719183485337</v>
      </c>
      <c r="T12" s="11">
        <f t="shared" si="24"/>
        <v>-43.805719183485337</v>
      </c>
      <c r="U12" s="11">
        <f t="shared" si="9"/>
        <v>21.403948484880758</v>
      </c>
      <c r="V12" s="11">
        <f t="shared" si="10"/>
        <v>-21.403948484880758</v>
      </c>
      <c r="W12" s="11"/>
      <c r="X12" s="14">
        <f t="shared" si="11"/>
        <v>183.40394310374026</v>
      </c>
      <c r="Y12" s="14">
        <f t="shared" si="12"/>
        <v>2.3770386226339317</v>
      </c>
      <c r="Z12" s="14">
        <f t="shared" si="13"/>
        <v>-0.37356937398842088</v>
      </c>
      <c r="AA12" s="14">
        <f>-Main!D12/2*SIN(ABS(Z12))+X12</f>
        <v>182.98426101548489</v>
      </c>
      <c r="AB12" s="14">
        <f>Main!D12/2*COS(ABS(Z12))*SIGN(Z12)+D12</f>
        <v>-72.960485268787053</v>
      </c>
      <c r="AC12" s="14">
        <f t="shared" si="14"/>
        <v>-0.37940716072159364</v>
      </c>
      <c r="AD12" s="14">
        <f t="shared" si="15"/>
        <v>196.99358413420472</v>
      </c>
      <c r="AE12" s="14">
        <f t="shared" si="23"/>
        <v>75</v>
      </c>
      <c r="AF12" s="14">
        <f t="shared" si="16"/>
        <v>0.39057811918182178</v>
      </c>
      <c r="AG12" s="14">
        <f t="shared" si="17"/>
        <v>22.712958340784315</v>
      </c>
      <c r="AH12" s="14">
        <f>DEGREES(ATAN((Main!S12/2+Main!D12/2)/Main!C12))</f>
        <v>24.652308615261592</v>
      </c>
      <c r="AI12" s="14">
        <f t="shared" si="18"/>
        <v>10</v>
      </c>
      <c r="AJ12" s="21">
        <f>Main!S12*(G12-Main!T12)/G12/25</f>
        <v>1.6489938555010644</v>
      </c>
      <c r="AK12" s="22"/>
      <c r="AL12" s="22"/>
      <c r="AM12" s="22"/>
      <c r="AN12" s="22"/>
      <c r="AO12" s="22"/>
      <c r="AP12" s="22"/>
    </row>
    <row r="13" spans="1:42" ht="15" customHeight="1" x14ac:dyDescent="0.45">
      <c r="A13" s="13">
        <v>11</v>
      </c>
      <c r="B13" s="14">
        <f>'MDSL cloud import'!C13</f>
        <v>-170.499</v>
      </c>
      <c r="C13" s="14">
        <f>'MDSL cloud import'!D13</f>
        <v>95.572720000000004</v>
      </c>
      <c r="D13" s="14">
        <f>'MDSL cloud import'!E13</f>
        <v>-71.531800000000004</v>
      </c>
      <c r="E13" s="11">
        <f t="shared" si="0"/>
        <v>208.1366191241666</v>
      </c>
      <c r="F13" s="11">
        <f t="shared" si="1"/>
        <v>1.2207497939821736</v>
      </c>
      <c r="G13" s="11">
        <f>Main!C13</f>
        <v>60.741524539105065</v>
      </c>
      <c r="H13" s="11">
        <f>E13+G13+Main!T13</f>
        <v>278.87814366327166</v>
      </c>
      <c r="I13" s="11">
        <f t="shared" si="19"/>
        <v>-228.44824143164595</v>
      </c>
      <c r="J13" s="11">
        <f t="shared" si="20"/>
        <v>128.05599923072336</v>
      </c>
      <c r="K13" s="11">
        <f t="shared" si="2"/>
        <v>-95.844045516045327</v>
      </c>
      <c r="L13" s="11">
        <f>(H13-Main!T13)/F13*SIGN(B13)</f>
        <v>-220.25655460991052</v>
      </c>
      <c r="M13" s="11">
        <f t="shared" si="21"/>
        <v>123.46417293883067</v>
      </c>
      <c r="N13" s="11">
        <f t="shared" si="22"/>
        <v>-92.40727401946755</v>
      </c>
      <c r="O13" s="11">
        <f t="shared" si="3"/>
        <v>139.43907183163583</v>
      </c>
      <c r="P13" s="11">
        <f t="shared" si="4"/>
        <v>-114.22412071582298</v>
      </c>
      <c r="Q13" s="11">
        <f t="shared" si="5"/>
        <v>64.027999615361679</v>
      </c>
      <c r="R13" s="11">
        <f t="shared" si="6"/>
        <v>-47.922022758022663</v>
      </c>
      <c r="S13" s="11">
        <f t="shared" si="7"/>
        <v>29.272683834126891</v>
      </c>
      <c r="T13" s="11">
        <f t="shared" si="24"/>
        <v>-29.272683834126891</v>
      </c>
      <c r="U13" s="11">
        <f t="shared" si="9"/>
        <v>20.101064968042451</v>
      </c>
      <c r="V13" s="11">
        <f t="shared" si="10"/>
        <v>-20.101064968042451</v>
      </c>
      <c r="W13" s="11"/>
      <c r="X13" s="14">
        <f t="shared" si="11"/>
        <v>195.45857312790963</v>
      </c>
      <c r="Y13" s="14">
        <f t="shared" si="12"/>
        <v>2.6306879397889613</v>
      </c>
      <c r="Z13" s="14">
        <f t="shared" si="13"/>
        <v>-0.35082976684962947</v>
      </c>
      <c r="AA13" s="14">
        <f>-Main!D13/2*SIN(ABS(Z13))+X13</f>
        <v>195.06334440580318</v>
      </c>
      <c r="AB13" s="14">
        <f>Main!D13/2*COS(ABS(Z13))*SIGN(Z13)+D13</f>
        <v>-72.611751043900654</v>
      </c>
      <c r="AC13" s="14">
        <f t="shared" si="14"/>
        <v>-0.35635492769179367</v>
      </c>
      <c r="AD13" s="14">
        <f t="shared" si="15"/>
        <v>208.13979609973291</v>
      </c>
      <c r="AE13" s="14">
        <f t="shared" si="23"/>
        <v>75</v>
      </c>
      <c r="AF13" s="14">
        <f t="shared" si="16"/>
        <v>0.36862671831018301</v>
      </c>
      <c r="AG13" s="14">
        <f t="shared" si="17"/>
        <v>21.437323572318309</v>
      </c>
      <c r="AH13" s="14">
        <f>DEGREES(ATAN((Main!S13/2+Main!D13/2)/Main!C13))</f>
        <v>23.29249358449394</v>
      </c>
      <c r="AI13" s="14">
        <f t="shared" si="18"/>
        <v>11</v>
      </c>
      <c r="AJ13" s="21">
        <f>Main!S13*(G13-Main!T13)/G13/25</f>
        <v>1.6707359561394595</v>
      </c>
      <c r="AK13" s="22"/>
      <c r="AL13" s="22"/>
      <c r="AM13" s="22"/>
      <c r="AN13" s="22"/>
      <c r="AO13" s="22"/>
      <c r="AP13" s="22"/>
    </row>
    <row r="14" spans="1:42" ht="15" customHeight="1" x14ac:dyDescent="0.45">
      <c r="A14" s="13">
        <v>12</v>
      </c>
      <c r="B14" s="14">
        <f>'MDSL cloud import'!C14</f>
        <v>-201.25800000000001</v>
      </c>
      <c r="C14" s="14">
        <f>'MDSL cloud import'!D14</f>
        <v>56.977739999999997</v>
      </c>
      <c r="D14" s="14">
        <f>'MDSL cloud import'!E14</f>
        <v>-71.181799999999996</v>
      </c>
      <c r="E14" s="11">
        <f t="shared" si="0"/>
        <v>220.94817055306794</v>
      </c>
      <c r="F14" s="11">
        <f t="shared" si="1"/>
        <v>1.0978354676736723</v>
      </c>
      <c r="G14" s="11">
        <f>Main!C14</f>
        <v>65.028733114332397</v>
      </c>
      <c r="H14" s="11">
        <f>E14+G14+Main!T14</f>
        <v>295.97690366740034</v>
      </c>
      <c r="I14" s="11">
        <f t="shared" si="19"/>
        <v>-269.60042044786479</v>
      </c>
      <c r="J14" s="11">
        <f t="shared" si="20"/>
        <v>76.326022618574783</v>
      </c>
      <c r="K14" s="11">
        <f t="shared" si="2"/>
        <v>-95.353442885429757</v>
      </c>
      <c r="L14" s="11">
        <f>(H14-Main!T14)/F14*SIGN(B14)</f>
        <v>-260.4915873900386</v>
      </c>
      <c r="M14" s="11">
        <f t="shared" si="21"/>
        <v>73.747239555679258</v>
      </c>
      <c r="N14" s="11">
        <f t="shared" si="22"/>
        <v>-92.13179140844214</v>
      </c>
      <c r="O14" s="11">
        <f t="shared" si="3"/>
        <v>147.98845183370017</v>
      </c>
      <c r="P14" s="11">
        <f t="shared" si="4"/>
        <v>-134.8002102239324</v>
      </c>
      <c r="Q14" s="11">
        <f t="shared" si="5"/>
        <v>38.163011309287391</v>
      </c>
      <c r="R14" s="11">
        <f t="shared" si="6"/>
        <v>-47.676721442714879</v>
      </c>
      <c r="S14" s="11">
        <f t="shared" si="7"/>
        <v>15.80723941078455</v>
      </c>
      <c r="T14" s="11">
        <f t="shared" si="24"/>
        <v>-15.80723941078455</v>
      </c>
      <c r="U14" s="11">
        <f t="shared" si="9"/>
        <v>18.793914488381077</v>
      </c>
      <c r="V14" s="11">
        <f t="shared" si="10"/>
        <v>-18.793914488381077</v>
      </c>
      <c r="W14" s="11"/>
      <c r="X14" s="14">
        <f t="shared" si="11"/>
        <v>209.16798373438417</v>
      </c>
      <c r="Y14" s="14">
        <f t="shared" si="12"/>
        <v>2.8657042802205943</v>
      </c>
      <c r="Z14" s="14">
        <f t="shared" si="13"/>
        <v>-0.32801568716051532</v>
      </c>
      <c r="AA14" s="14">
        <f>-Main!D14/2*SIN(ABS(Z14))+X14</f>
        <v>208.79749381453058</v>
      </c>
      <c r="AB14" s="14">
        <f>Main!D14/2*COS(ABS(Z14))*SIGN(Z14)+D14</f>
        <v>-72.270486005828531</v>
      </c>
      <c r="AC14" s="14">
        <f t="shared" si="14"/>
        <v>-0.33322048072205585</v>
      </c>
      <c r="AD14" s="14">
        <f t="shared" si="15"/>
        <v>220.95116331612195</v>
      </c>
      <c r="AE14" s="14">
        <f t="shared" si="23"/>
        <v>75</v>
      </c>
      <c r="AF14" s="14">
        <f t="shared" si="16"/>
        <v>0.34632310849603676</v>
      </c>
      <c r="AG14" s="14">
        <f t="shared" si="17"/>
        <v>20.141065168987346</v>
      </c>
      <c r="AH14" s="14">
        <f>DEGREES(ATAN((Main!S14/2+Main!D14/2)/Main!C14))</f>
        <v>21.906535684936003</v>
      </c>
      <c r="AI14" s="14">
        <f t="shared" si="18"/>
        <v>12</v>
      </c>
      <c r="AJ14" s="21">
        <f>Main!S14*(G14-Main!T14)/G14/25</f>
        <v>1.6924436469516277</v>
      </c>
      <c r="AK14" s="22"/>
      <c r="AL14" s="22"/>
      <c r="AM14" s="22"/>
      <c r="AN14" s="22"/>
      <c r="AO14" s="22"/>
      <c r="AP14" s="22"/>
    </row>
    <row r="15" spans="1:42" ht="15" customHeight="1" x14ac:dyDescent="0.45">
      <c r="A15" s="13">
        <v>13</v>
      </c>
      <c r="B15" s="14">
        <f>'MDSL cloud import'!C15</f>
        <v>-221.94800000000001</v>
      </c>
      <c r="C15" s="14">
        <f>'MDSL cloud import'!D15</f>
        <v>12.562290000000001</v>
      </c>
      <c r="D15" s="14">
        <f>'MDSL cloud import'!E15</f>
        <v>-70.892499999999998</v>
      </c>
      <c r="E15" s="11">
        <f t="shared" si="0"/>
        <v>233.3333932172892</v>
      </c>
      <c r="F15" s="11">
        <f t="shared" si="1"/>
        <v>1.0512975706800205</v>
      </c>
      <c r="G15" s="11">
        <f>Main!C15</f>
        <v>69.141984211777583</v>
      </c>
      <c r="H15" s="11">
        <f>E15+G15+Main!T15</f>
        <v>312.47537742906678</v>
      </c>
      <c r="I15" s="11">
        <f t="shared" si="19"/>
        <v>-297.2282883018035</v>
      </c>
      <c r="J15" s="11">
        <f t="shared" si="20"/>
        <v>16.82316557865294</v>
      </c>
      <c r="K15" s="11">
        <f t="shared" si="2"/>
        <v>-94.937807182022837</v>
      </c>
      <c r="L15" s="11">
        <f>(H15-Main!T15)/F15*SIGN(B15)</f>
        <v>-287.71623360017264</v>
      </c>
      <c r="M15" s="11">
        <f t="shared" si="21"/>
        <v>16.284781859683857</v>
      </c>
      <c r="N15" s="11">
        <f t="shared" si="22"/>
        <v>-91.899557961775898</v>
      </c>
      <c r="O15" s="11">
        <f t="shared" si="3"/>
        <v>156.23768871453339</v>
      </c>
      <c r="P15" s="11">
        <f t="shared" si="4"/>
        <v>-148.61414415090175</v>
      </c>
      <c r="Q15" s="11">
        <f t="shared" si="5"/>
        <v>8.4115827893264701</v>
      </c>
      <c r="R15" s="11">
        <f t="shared" si="6"/>
        <v>-47.468903591011419</v>
      </c>
      <c r="S15" s="11">
        <f t="shared" si="7"/>
        <v>3.239493319287543</v>
      </c>
      <c r="T15" s="11">
        <f t="shared" si="24"/>
        <v>-3.239493319287543</v>
      </c>
      <c r="U15" s="11">
        <f t="shared" si="9"/>
        <v>17.687482368956211</v>
      </c>
      <c r="V15" s="11">
        <f t="shared" si="10"/>
        <v>-17.687482368956211</v>
      </c>
      <c r="W15" s="11"/>
      <c r="X15" s="14">
        <f t="shared" si="11"/>
        <v>222.30322947281738</v>
      </c>
      <c r="Y15" s="14">
        <f t="shared" si="12"/>
        <v>3.0850528290718655</v>
      </c>
      <c r="Z15" s="14">
        <f t="shared" si="13"/>
        <v>-0.30870480372673237</v>
      </c>
      <c r="AA15" s="14">
        <f>-Main!D15/2*SIN(ABS(Z15))+X15</f>
        <v>221.95383081248897</v>
      </c>
      <c r="AB15" s="14">
        <f>Main!D15/2*COS(ABS(Z15))*SIGN(Z15)+D15</f>
        <v>-71.988137064068539</v>
      </c>
      <c r="AC15" s="14">
        <f t="shared" si="14"/>
        <v>-0.31363333398467957</v>
      </c>
      <c r="AD15" s="14">
        <f t="shared" si="15"/>
        <v>233.33622712792393</v>
      </c>
      <c r="AE15" s="14">
        <f t="shared" si="23"/>
        <v>75</v>
      </c>
      <c r="AF15" s="14">
        <f t="shared" si="16"/>
        <v>0.32723352066962563</v>
      </c>
      <c r="AG15" s="14">
        <f t="shared" si="17"/>
        <v>19.031483632559436</v>
      </c>
      <c r="AH15" s="14">
        <f>DEGREES(ATAN((Main!S15/2+Main!D15/2)/Main!C15))</f>
        <v>20.716981623588218</v>
      </c>
      <c r="AI15" s="14">
        <f t="shared" si="18"/>
        <v>13</v>
      </c>
      <c r="AJ15" s="21">
        <f>Main!S15*(G15-Main!T15)/G15/25</f>
        <v>1.7107401497367902</v>
      </c>
      <c r="AK15" s="22"/>
      <c r="AL15" s="22"/>
      <c r="AM15" s="22"/>
      <c r="AN15" s="22"/>
      <c r="AO15" s="22"/>
      <c r="AP15" s="22"/>
    </row>
    <row r="16" spans="1:42" ht="15" customHeight="1" x14ac:dyDescent="0.45">
      <c r="A16" s="13">
        <v>14</v>
      </c>
      <c r="B16" s="14">
        <f>'MDSL cloud import'!C16</f>
        <v>-230.423</v>
      </c>
      <c r="C16" s="14">
        <f>'MDSL cloud import'!D16</f>
        <v>-35.1111</v>
      </c>
      <c r="D16" s="14">
        <f>'MDSL cloud import'!E16</f>
        <v>-70.710800000000006</v>
      </c>
      <c r="E16" s="11">
        <f t="shared" si="0"/>
        <v>243.57250565047363</v>
      </c>
      <c r="F16" s="11">
        <f t="shared" si="1"/>
        <v>1.0570668103899072</v>
      </c>
      <c r="G16" s="11">
        <f>Main!C16</f>
        <v>72.523027324148345</v>
      </c>
      <c r="H16" s="11">
        <f>E16+G16+Main!T16</f>
        <v>326.09553297462196</v>
      </c>
      <c r="I16" s="11">
        <f t="shared" si="19"/>
        <v>-308.49093904891322</v>
      </c>
      <c r="J16" s="11">
        <f t="shared" si="20"/>
        <v>-47.006836166703394</v>
      </c>
      <c r="K16" s="11">
        <f t="shared" si="2"/>
        <v>-94.667811342183271</v>
      </c>
      <c r="L16" s="11">
        <f>(H16-Main!T16)/F16*SIGN(B16)</f>
        <v>-299.03079906371073</v>
      </c>
      <c r="M16" s="11">
        <f t="shared" si="21"/>
        <v>-45.565331104125256</v>
      </c>
      <c r="N16" s="11">
        <f t="shared" si="22"/>
        <v>-91.764741481684723</v>
      </c>
      <c r="O16" s="11">
        <f t="shared" si="3"/>
        <v>163.04776648731098</v>
      </c>
      <c r="P16" s="11">
        <f t="shared" si="4"/>
        <v>-154.24546952445661</v>
      </c>
      <c r="Q16" s="11">
        <f t="shared" si="5"/>
        <v>-23.503418083351697</v>
      </c>
      <c r="R16" s="11">
        <f t="shared" si="6"/>
        <v>-47.333905671091635</v>
      </c>
      <c r="S16" s="11">
        <f t="shared" si="7"/>
        <v>8.6638982069119823</v>
      </c>
      <c r="T16" s="11">
        <f t="shared" ref="T16:T22" si="25">S16</f>
        <v>8.6638982069119823</v>
      </c>
      <c r="U16" s="11">
        <f t="shared" si="9"/>
        <v>16.876335719996291</v>
      </c>
      <c r="V16" s="11">
        <f t="shared" si="10"/>
        <v>-16.876335719996291</v>
      </c>
      <c r="W16" s="11"/>
      <c r="X16" s="14">
        <f t="shared" si="11"/>
        <v>233.08270693513495</v>
      </c>
      <c r="Y16" s="14">
        <f t="shared" si="12"/>
        <v>-2.9903791038215459</v>
      </c>
      <c r="Z16" s="14">
        <f t="shared" si="13"/>
        <v>-0.29454762398586315</v>
      </c>
      <c r="AA16" s="14">
        <f>-Main!D16/2*SIN(ABS(Z16))+X16</f>
        <v>232.74885390117763</v>
      </c>
      <c r="AB16" s="14">
        <f>Main!D16/2*COS(ABS(Z16))*SIGN(Z16)+D16</f>
        <v>-71.811273603371518</v>
      </c>
      <c r="AC16" s="14">
        <f t="shared" si="14"/>
        <v>-0.29926897565062072</v>
      </c>
      <c r="AD16" s="14">
        <f t="shared" si="15"/>
        <v>243.57522043272385</v>
      </c>
      <c r="AE16" s="14">
        <f t="shared" si="23"/>
        <v>75</v>
      </c>
      <c r="AF16" s="14">
        <f t="shared" si="16"/>
        <v>0.31299877544559634</v>
      </c>
      <c r="AG16" s="14">
        <f t="shared" si="17"/>
        <v>18.204022349783326</v>
      </c>
      <c r="AH16" s="14">
        <f>DEGREES(ATAN((Main!S16/2+Main!D16/2)/Main!C16))</f>
        <v>19.828042852162046</v>
      </c>
      <c r="AI16" s="14">
        <f t="shared" si="18"/>
        <v>14</v>
      </c>
      <c r="AJ16" s="21">
        <f>Main!S16*(G16-Main!T16)/G16/25</f>
        <v>1.7242255220454579</v>
      </c>
      <c r="AK16" s="22"/>
      <c r="AL16" s="22"/>
      <c r="AM16" s="22"/>
      <c r="AN16" s="22"/>
      <c r="AO16" s="22"/>
      <c r="AP16" s="22"/>
    </row>
    <row r="17" spans="1:42" ht="15" customHeight="1" x14ac:dyDescent="0.45">
      <c r="A17" s="13">
        <v>15</v>
      </c>
      <c r="B17" s="14">
        <f>'MDSL cloud import'!C17</f>
        <v>-225.92699999999999</v>
      </c>
      <c r="C17" s="14">
        <f>'MDSL cloud import'!D17</f>
        <v>-82.936499999999995</v>
      </c>
      <c r="D17" s="14">
        <f>'MDSL cloud import'!E17</f>
        <v>-70.593100000000007</v>
      </c>
      <c r="E17" s="11">
        <f t="shared" si="0"/>
        <v>250.80840920682863</v>
      </c>
      <c r="F17" s="11">
        <f t="shared" si="1"/>
        <v>1.1101303040664845</v>
      </c>
      <c r="G17" s="11">
        <f>Main!C17</f>
        <v>74.90315784053459</v>
      </c>
      <c r="H17" s="11">
        <f>E17+G17+Main!T17</f>
        <v>335.71156704736325</v>
      </c>
      <c r="I17" s="11">
        <f t="shared" si="19"/>
        <v>-302.40735327882538</v>
      </c>
      <c r="J17" s="11">
        <f t="shared" si="20"/>
        <v>-111.01199703979294</v>
      </c>
      <c r="K17" s="11">
        <f t="shared" si="2"/>
        <v>-94.490134117424873</v>
      </c>
      <c r="L17" s="11">
        <f>(H17-Main!T17)/F17*SIGN(B17)</f>
        <v>-293.39940172271594</v>
      </c>
      <c r="M17" s="11">
        <f t="shared" si="21"/>
        <v>-107.70522992371886</v>
      </c>
      <c r="N17" s="11">
        <f t="shared" si="22"/>
        <v>-91.675511584502345</v>
      </c>
      <c r="O17" s="11">
        <f t="shared" si="3"/>
        <v>167.85578352368162</v>
      </c>
      <c r="P17" s="11">
        <f t="shared" si="4"/>
        <v>-151.20367663941269</v>
      </c>
      <c r="Q17" s="11">
        <f t="shared" si="5"/>
        <v>-55.505998519896472</v>
      </c>
      <c r="R17" s="11">
        <f t="shared" si="6"/>
        <v>-47.245067058712436</v>
      </c>
      <c r="S17" s="11">
        <f t="shared" si="7"/>
        <v>20.157895203759942</v>
      </c>
      <c r="T17" s="11">
        <f t="shared" si="25"/>
        <v>20.157895203759942</v>
      </c>
      <c r="U17" s="11">
        <f t="shared" si="9"/>
        <v>16.347495951258296</v>
      </c>
      <c r="V17" s="11">
        <f t="shared" si="10"/>
        <v>-16.347495951258296</v>
      </c>
      <c r="W17" s="11"/>
      <c r="X17" s="14">
        <f t="shared" si="11"/>
        <v>240.66880221842214</v>
      </c>
      <c r="Y17" s="14">
        <f t="shared" si="12"/>
        <v>-2.789771012012209</v>
      </c>
      <c r="Z17" s="14">
        <f t="shared" si="13"/>
        <v>-0.28531762880589956</v>
      </c>
      <c r="AA17" s="14">
        <f>-Main!D17/2*SIN(ABS(Z17))+X17</f>
        <v>240.34512062713605</v>
      </c>
      <c r="AB17" s="14">
        <f>Main!D17/2*COS(ABS(Z17))*SIGN(Z17)+D17</f>
        <v>-71.696608145625817</v>
      </c>
      <c r="AC17" s="14">
        <f t="shared" si="14"/>
        <v>-0.28990276988872848</v>
      </c>
      <c r="AD17" s="14">
        <f t="shared" si="15"/>
        <v>250.81104566757026</v>
      </c>
      <c r="AE17" s="14">
        <f t="shared" si="23"/>
        <v>75</v>
      </c>
      <c r="AF17" s="14">
        <f t="shared" si="16"/>
        <v>0.30367586732473095</v>
      </c>
      <c r="AG17" s="14">
        <f t="shared" si="17"/>
        <v>17.662054770199966</v>
      </c>
      <c r="AH17" s="14">
        <f>DEGREES(ATAN((Main!S17/2+Main!D17/2)/Main!C17))</f>
        <v>19.244986186205288</v>
      </c>
      <c r="AI17" s="14">
        <f t="shared" si="18"/>
        <v>15</v>
      </c>
      <c r="AJ17" s="21">
        <f>Main!S17*(G17-Main!T17)/G17/25</f>
        <v>1.7329885604745916</v>
      </c>
      <c r="AK17" s="22"/>
      <c r="AL17" s="22"/>
      <c r="AM17" s="22"/>
      <c r="AN17" s="22"/>
      <c r="AO17" s="22"/>
      <c r="AP17" s="22"/>
    </row>
    <row r="18" spans="1:42" ht="15" customHeight="1" x14ac:dyDescent="0.45">
      <c r="A18" s="13">
        <v>16</v>
      </c>
      <c r="B18" s="14">
        <f>'MDSL cloud import'!C18</f>
        <v>-209.22900000000001</v>
      </c>
      <c r="C18" s="14">
        <f>'MDSL cloud import'!D18</f>
        <v>-127.899</v>
      </c>
      <c r="D18" s="14">
        <f>'MDSL cloud import'!E18</f>
        <v>-70.526300000000006</v>
      </c>
      <c r="E18" s="11">
        <f t="shared" si="0"/>
        <v>255.16443254045029</v>
      </c>
      <c r="F18" s="11">
        <f t="shared" si="1"/>
        <v>1.2195462031575464</v>
      </c>
      <c r="G18" s="11">
        <f>Main!C18</f>
        <v>76.332661146866826</v>
      </c>
      <c r="H18" s="11">
        <f>E18+G18+Main!T18</f>
        <v>341.49709368731715</v>
      </c>
      <c r="I18" s="11">
        <f t="shared" si="19"/>
        <v>-280.01980802624911</v>
      </c>
      <c r="J18" s="11">
        <f t="shared" si="20"/>
        <v>-171.17251158658328</v>
      </c>
      <c r="K18" s="11">
        <f t="shared" si="2"/>
        <v>-94.388258734695739</v>
      </c>
      <c r="L18" s="11">
        <f>(H18-Main!T18)/F18*SIGN(B18)</f>
        <v>-271.82003668990382</v>
      </c>
      <c r="M18" s="11">
        <f t="shared" si="21"/>
        <v>-166.16009670075377</v>
      </c>
      <c r="N18" s="11">
        <f t="shared" si="22"/>
        <v>-91.624303770524946</v>
      </c>
      <c r="O18" s="11">
        <f t="shared" si="3"/>
        <v>170.74854684365857</v>
      </c>
      <c r="P18" s="11">
        <f t="shared" si="4"/>
        <v>-140.00990401312455</v>
      </c>
      <c r="Q18" s="11">
        <f t="shared" si="5"/>
        <v>-85.586255793291642</v>
      </c>
      <c r="R18" s="11">
        <f t="shared" si="6"/>
        <v>-47.19412936734787</v>
      </c>
      <c r="S18" s="11">
        <f t="shared" si="7"/>
        <v>31.43690893995597</v>
      </c>
      <c r="T18" s="11">
        <f t="shared" si="25"/>
        <v>31.43690893995597</v>
      </c>
      <c r="U18" s="11">
        <f t="shared" si="9"/>
        <v>16.045193909560112</v>
      </c>
      <c r="V18" s="11">
        <f t="shared" si="10"/>
        <v>-16.045193909560112</v>
      </c>
      <c r="W18" s="11"/>
      <c r="X18" s="14">
        <f t="shared" si="11"/>
        <v>245.22424154638546</v>
      </c>
      <c r="Y18" s="14">
        <f t="shared" si="12"/>
        <v>-2.5929150859379213</v>
      </c>
      <c r="Z18" s="14">
        <f t="shared" si="13"/>
        <v>-0.28004146284276532</v>
      </c>
      <c r="AA18" s="14">
        <f>-Main!D18/2*SIN(ABS(Z18))+X18</f>
        <v>244.90638672550583</v>
      </c>
      <c r="AB18" s="14">
        <f>Main!D18/2*COS(ABS(Z18))*SIGN(Z18)+D18</f>
        <v>-71.631500575842949</v>
      </c>
      <c r="AC18" s="14">
        <f t="shared" si="14"/>
        <v>-0.2845483300512161</v>
      </c>
      <c r="AD18" s="14">
        <f t="shared" si="15"/>
        <v>255.16702399348156</v>
      </c>
      <c r="AE18" s="14">
        <f t="shared" si="23"/>
        <v>75</v>
      </c>
      <c r="AF18" s="14">
        <f t="shared" si="16"/>
        <v>0.29833077825945131</v>
      </c>
      <c r="AG18" s="14">
        <f t="shared" si="17"/>
        <v>17.351318962989911</v>
      </c>
      <c r="AH18" s="14">
        <f>DEGREES(ATAN((Main!S18/2+Main!D18/2)/Main!C18))</f>
        <v>18.910405433631105</v>
      </c>
      <c r="AI18" s="14">
        <f t="shared" si="18"/>
        <v>16</v>
      </c>
      <c r="AJ18" s="21">
        <f>Main!S18*(G18-Main!T18)/G18/25</f>
        <v>1.7379889591230253</v>
      </c>
      <c r="AK18" s="22"/>
      <c r="AL18" s="22"/>
      <c r="AM18" s="22"/>
      <c r="AN18" s="22"/>
      <c r="AO18" s="22"/>
      <c r="AP18" s="22"/>
    </row>
    <row r="19" spans="1:42" ht="15" customHeight="1" x14ac:dyDescent="0.45">
      <c r="A19" s="13">
        <v>17</v>
      </c>
      <c r="B19" s="14">
        <f>'MDSL cloud import'!C19</f>
        <v>-182.273</v>
      </c>
      <c r="C19" s="14">
        <f>'MDSL cloud import'!D19</f>
        <v>-167.65600000000001</v>
      </c>
      <c r="D19" s="14">
        <f>'MDSL cloud import'!E19</f>
        <v>-70.491799999999998</v>
      </c>
      <c r="E19" s="11">
        <f t="shared" si="0"/>
        <v>257.48995074029585</v>
      </c>
      <c r="F19" s="11">
        <f t="shared" si="1"/>
        <v>1.4126609576859759</v>
      </c>
      <c r="G19" s="11">
        <f>Main!C19</f>
        <v>77.094853118342996</v>
      </c>
      <c r="H19" s="11">
        <f>E19+G19+Main!T19</f>
        <v>344.58480385863885</v>
      </c>
      <c r="I19" s="11">
        <f t="shared" si="19"/>
        <v>-243.92604749485653</v>
      </c>
      <c r="J19" s="11">
        <f t="shared" si="20"/>
        <v>-224.36491097857427</v>
      </c>
      <c r="K19" s="11">
        <f t="shared" si="2"/>
        <v>-94.335343988401604</v>
      </c>
      <c r="L19" s="11">
        <f>(H19-Main!T19)/F19*SIGN(B19)</f>
        <v>-236.84720812749649</v>
      </c>
      <c r="M19" s="11">
        <f t="shared" si="21"/>
        <v>-217.85374425078618</v>
      </c>
      <c r="N19" s="11">
        <f t="shared" si="22"/>
        <v>-91.59769151702038</v>
      </c>
      <c r="O19" s="11">
        <f t="shared" si="3"/>
        <v>172.29240192931942</v>
      </c>
      <c r="P19" s="11">
        <f t="shared" si="4"/>
        <v>-121.96302374742827</v>
      </c>
      <c r="Q19" s="11">
        <f t="shared" si="5"/>
        <v>-112.18245548928714</v>
      </c>
      <c r="R19" s="11">
        <f t="shared" si="6"/>
        <v>-47.167671994200802</v>
      </c>
      <c r="S19" s="11">
        <f t="shared" si="7"/>
        <v>42.608069578213971</v>
      </c>
      <c r="T19" s="11">
        <f t="shared" si="25"/>
        <v>42.608069578213971</v>
      </c>
      <c r="U19" s="11">
        <f t="shared" si="9"/>
        <v>15.888444468241502</v>
      </c>
      <c r="V19" s="11">
        <f t="shared" si="10"/>
        <v>-15.888444468241502</v>
      </c>
      <c r="W19" s="11"/>
      <c r="X19" s="14">
        <f t="shared" si="11"/>
        <v>247.65294438992646</v>
      </c>
      <c r="Y19" s="14">
        <f t="shared" si="12"/>
        <v>-2.3979415515311278</v>
      </c>
      <c r="Z19" s="14">
        <f t="shared" si="13"/>
        <v>-0.27730566899109371</v>
      </c>
      <c r="AA19" s="14">
        <f>-Main!D19/2*SIN(ABS(Z19))+X19</f>
        <v>247.33811435571761</v>
      </c>
      <c r="AB19" s="14">
        <f>Main!D19/2*COS(ABS(Z19))*SIGN(Z19)+D19</f>
        <v>-71.597866024051029</v>
      </c>
      <c r="AC19" s="14">
        <f t="shared" si="14"/>
        <v>-0.28177183301217035</v>
      </c>
      <c r="AD19" s="14">
        <f t="shared" si="15"/>
        <v>257.49251878887662</v>
      </c>
      <c r="AE19" s="14">
        <f t="shared" si="23"/>
        <v>75</v>
      </c>
      <c r="AF19" s="14">
        <f t="shared" si="16"/>
        <v>0.29555475724551822</v>
      </c>
      <c r="AG19" s="14">
        <f t="shared" si="17"/>
        <v>17.189932554202649</v>
      </c>
      <c r="AH19" s="14">
        <f>DEGREES(ATAN((Main!S19/2+Main!D19/2)/Main!C19))</f>
        <v>18.736553549062851</v>
      </c>
      <c r="AI19" s="14">
        <f t="shared" si="18"/>
        <v>17</v>
      </c>
      <c r="AJ19" s="21">
        <f>Main!S19*(G19-Main!T19)/G19/25</f>
        <v>1.7405793098885685</v>
      </c>
      <c r="AK19" s="22"/>
      <c r="AL19" s="22"/>
      <c r="AM19" s="22"/>
      <c r="AN19" s="22"/>
      <c r="AO19" s="22"/>
      <c r="AP19" s="22"/>
    </row>
    <row r="20" spans="1:42" ht="15" customHeight="1" x14ac:dyDescent="0.45">
      <c r="A20" s="13">
        <v>18</v>
      </c>
      <c r="B20" s="14">
        <f>'MDSL cloud import'!C20</f>
        <v>-147.47300000000001</v>
      </c>
      <c r="C20" s="14">
        <f>'MDSL cloud import'!D20</f>
        <v>-200.839</v>
      </c>
      <c r="D20" s="14">
        <f>'MDSL cloud import'!E20</f>
        <v>-70.470699999999994</v>
      </c>
      <c r="E20" s="11">
        <f t="shared" si="0"/>
        <v>258.94151696568474</v>
      </c>
      <c r="F20" s="11">
        <f t="shared" si="1"/>
        <v>1.7558571193756465</v>
      </c>
      <c r="G20" s="11">
        <f>Main!C20</f>
        <v>77.570276742787186</v>
      </c>
      <c r="H20" s="11">
        <f>E20+G20+Main!T20</f>
        <v>346.51179370847194</v>
      </c>
      <c r="I20" s="11">
        <f t="shared" si="19"/>
        <v>-197.34623614003726</v>
      </c>
      <c r="J20" s="11">
        <f t="shared" si="20"/>
        <v>-268.75984566753874</v>
      </c>
      <c r="K20" s="11">
        <f t="shared" si="2"/>
        <v>-94.302871733495095</v>
      </c>
      <c r="L20" s="11">
        <f>(H20-Main!T20)/F20*SIGN(B20)</f>
        <v>-191.65101191612328</v>
      </c>
      <c r="M20" s="11">
        <f t="shared" si="21"/>
        <v>-261.00369275882554</v>
      </c>
      <c r="N20" s="11">
        <f t="shared" si="22"/>
        <v>-91.581380764191039</v>
      </c>
      <c r="O20" s="11">
        <f t="shared" si="3"/>
        <v>173.25589685423597</v>
      </c>
      <c r="P20" s="11">
        <f t="shared" si="4"/>
        <v>-98.673118070018631</v>
      </c>
      <c r="Q20" s="11">
        <f t="shared" si="5"/>
        <v>-134.37992283376937</v>
      </c>
      <c r="R20" s="11">
        <f t="shared" si="6"/>
        <v>-47.151435866747548</v>
      </c>
      <c r="S20" s="11">
        <f t="shared" si="7"/>
        <v>53.710732447177577</v>
      </c>
      <c r="T20" s="11">
        <f t="shared" si="25"/>
        <v>53.710732447177577</v>
      </c>
      <c r="U20" s="11">
        <f t="shared" si="9"/>
        <v>15.79219074787153</v>
      </c>
      <c r="V20" s="11">
        <f t="shared" si="10"/>
        <v>-15.79219074787153</v>
      </c>
      <c r="W20" s="11"/>
      <c r="X20" s="14">
        <f t="shared" si="11"/>
        <v>249.16779416690272</v>
      </c>
      <c r="Y20" s="14">
        <f t="shared" si="12"/>
        <v>-2.2041635287287931</v>
      </c>
      <c r="Z20" s="14">
        <f t="shared" si="13"/>
        <v>-0.27562572465334378</v>
      </c>
      <c r="AA20" s="14">
        <f>-Main!D20/2*SIN(ABS(Z20))+X20</f>
        <v>248.85482270543275</v>
      </c>
      <c r="AB20" s="14">
        <f>Main!D20/2*COS(ABS(Z20))*SIGN(Z20)+D20</f>
        <v>-71.577293359959</v>
      </c>
      <c r="AC20" s="14">
        <f t="shared" si="14"/>
        <v>-0.2800668527225133</v>
      </c>
      <c r="AD20" s="14">
        <f t="shared" si="15"/>
        <v>258.94407061852178</v>
      </c>
      <c r="AE20" s="14">
        <f t="shared" si="23"/>
        <v>75</v>
      </c>
      <c r="AF20" s="14">
        <f t="shared" si="16"/>
        <v>0.29384843214464901</v>
      </c>
      <c r="AG20" s="14">
        <f t="shared" si="17"/>
        <v>17.090732873065239</v>
      </c>
      <c r="AH20" s="14">
        <f>DEGREES(ATAN((Main!S20/2+Main!D20/2)/Main!C20))</f>
        <v>18.629664399193942</v>
      </c>
      <c r="AI20" s="14">
        <f t="shared" si="18"/>
        <v>18</v>
      </c>
      <c r="AJ20" s="21">
        <f>Main!S20*(G20-Main!T20)/G20/25</f>
        <v>1.7421692839086114</v>
      </c>
      <c r="AK20" s="22"/>
      <c r="AL20" s="22"/>
      <c r="AM20" s="22"/>
      <c r="AN20" s="22"/>
      <c r="AO20" s="22"/>
      <c r="AP20" s="22"/>
    </row>
    <row r="21" spans="1:42" ht="15" customHeight="1" x14ac:dyDescent="0.45">
      <c r="A21" s="13">
        <v>19</v>
      </c>
      <c r="B21" s="14">
        <f>'MDSL cloud import'!C21</f>
        <v>-107.125</v>
      </c>
      <c r="C21" s="14">
        <f>'MDSL cloud import'!D21</f>
        <v>-226.898</v>
      </c>
      <c r="D21" s="14">
        <f>'MDSL cloud import'!E21</f>
        <v>-70.446700000000007</v>
      </c>
      <c r="E21" s="11">
        <f t="shared" si="0"/>
        <v>260.61697099362118</v>
      </c>
      <c r="F21" s="11">
        <f t="shared" si="1"/>
        <v>2.4328305343628585</v>
      </c>
      <c r="G21" s="11">
        <f>Main!C21</f>
        <v>78.118721621072226</v>
      </c>
      <c r="H21" s="11">
        <f>E21+G21+Main!T21</f>
        <v>348.73569261469339</v>
      </c>
      <c r="I21" s="11">
        <f t="shared" si="19"/>
        <v>-143.34565753303687</v>
      </c>
      <c r="J21" s="11">
        <f t="shared" si="20"/>
        <v>-303.61580399468846</v>
      </c>
      <c r="K21" s="11">
        <f t="shared" si="2"/>
        <v>-94.265843944294886</v>
      </c>
      <c r="L21" s="11">
        <f>(H21-Main!T21)/F21*SIGN(B21)</f>
        <v>-139.2352191532346</v>
      </c>
      <c r="M21" s="11">
        <f t="shared" si="21"/>
        <v>-294.90961732023919</v>
      </c>
      <c r="N21" s="11">
        <f t="shared" si="22"/>
        <v>-91.56276978410429</v>
      </c>
      <c r="O21" s="11">
        <f t="shared" si="3"/>
        <v>174.3678463073467</v>
      </c>
      <c r="P21" s="11">
        <f t="shared" si="4"/>
        <v>-71.672828766518435</v>
      </c>
      <c r="Q21" s="11">
        <f t="shared" si="5"/>
        <v>-151.80790199734423</v>
      </c>
      <c r="R21" s="11">
        <f t="shared" si="6"/>
        <v>-47.132921972147443</v>
      </c>
      <c r="S21" s="11">
        <f t="shared" si="7"/>
        <v>64.726671254963591</v>
      </c>
      <c r="T21" s="11">
        <f t="shared" si="25"/>
        <v>64.726671254963591</v>
      </c>
      <c r="U21" s="11">
        <f t="shared" si="9"/>
        <v>15.682560708620471</v>
      </c>
      <c r="V21" s="11">
        <f t="shared" si="10"/>
        <v>-15.682560708620471</v>
      </c>
      <c r="W21" s="11"/>
      <c r="X21" s="14">
        <f t="shared" si="11"/>
        <v>250.91526065387094</v>
      </c>
      <c r="Y21" s="14">
        <f t="shared" si="12"/>
        <v>-2.0118991263347086</v>
      </c>
      <c r="Z21" s="14">
        <f t="shared" si="13"/>
        <v>-0.2737123195093224</v>
      </c>
      <c r="AA21" s="14">
        <f>-Main!D21/2*SIN(ABS(Z21))+X21</f>
        <v>250.60440712544903</v>
      </c>
      <c r="AB21" s="14">
        <f>Main!D21/2*COS(ABS(Z21))*SIGN(Z21)+D21</f>
        <v>-71.553890175113409</v>
      </c>
      <c r="AC21" s="14">
        <f t="shared" si="14"/>
        <v>-0.27812489683222053</v>
      </c>
      <c r="AD21" s="14">
        <f t="shared" si="15"/>
        <v>260.61950822969874</v>
      </c>
      <c r="AE21" s="14">
        <f t="shared" si="23"/>
        <v>75</v>
      </c>
      <c r="AF21" s="14">
        <f t="shared" si="16"/>
        <v>0.29190363039575634</v>
      </c>
      <c r="AG21" s="14">
        <f t="shared" si="17"/>
        <v>16.977668103600728</v>
      </c>
      <c r="AH21" s="14">
        <f>DEGREES(ATAN((Main!S21/2+Main!D21/2)/Main!C21))</f>
        <v>18.507810218485709</v>
      </c>
      <c r="AI21" s="14">
        <f t="shared" si="18"/>
        <v>19</v>
      </c>
      <c r="AJ21" s="21">
        <f>Main!S21*(G21-Main!T21)/G21/25</f>
        <v>1.743979425354484</v>
      </c>
      <c r="AK21" s="22"/>
      <c r="AL21" s="22"/>
      <c r="AM21" s="22"/>
      <c r="AN21" s="22"/>
      <c r="AO21" s="22"/>
      <c r="AP21" s="22"/>
    </row>
    <row r="22" spans="1:42" ht="15" customHeight="1" x14ac:dyDescent="0.45">
      <c r="A22" s="13">
        <v>20</v>
      </c>
      <c r="B22" s="14">
        <f>'MDSL cloud import'!C22</f>
        <v>-63.1068</v>
      </c>
      <c r="C22" s="14">
        <f>'MDSL cloud import'!D22</f>
        <v>-245.785</v>
      </c>
      <c r="D22" s="14">
        <f>'MDSL cloud import'!E22</f>
        <v>-70.408500000000004</v>
      </c>
      <c r="E22" s="11">
        <f t="shared" si="0"/>
        <v>263.34405499932973</v>
      </c>
      <c r="F22" s="11">
        <f t="shared" si="1"/>
        <v>4.1729901531899847</v>
      </c>
      <c r="G22" s="11">
        <f>Main!C22</f>
        <v>79.010720545979495</v>
      </c>
      <c r="H22" s="11">
        <f>E22+G22+Main!T22</f>
        <v>352.35477554530922</v>
      </c>
      <c r="I22" s="11">
        <f t="shared" si="19"/>
        <v>-84.437001433122603</v>
      </c>
      <c r="J22" s="11">
        <f t="shared" si="20"/>
        <v>-328.86073128791253</v>
      </c>
      <c r="K22" s="11">
        <f t="shared" si="2"/>
        <v>-94.206687954452022</v>
      </c>
      <c r="L22" s="11">
        <f>(H22-Main!T22)/F22*SIGN(B22)</f>
        <v>-82.040638242005159</v>
      </c>
      <c r="M22" s="11">
        <f t="shared" si="21"/>
        <v>-319.52750369708554</v>
      </c>
      <c r="N22" s="11">
        <f t="shared" si="22"/>
        <v>-91.533056305536334</v>
      </c>
      <c r="O22" s="11">
        <f t="shared" si="3"/>
        <v>176.17738777265461</v>
      </c>
      <c r="P22" s="11">
        <f t="shared" si="4"/>
        <v>-42.218500716561302</v>
      </c>
      <c r="Q22" s="11">
        <f t="shared" si="5"/>
        <v>-164.43036564395626</v>
      </c>
      <c r="R22" s="11">
        <f t="shared" si="6"/>
        <v>-47.103343977226011</v>
      </c>
      <c r="S22" s="11">
        <f t="shared" si="7"/>
        <v>75.600013566373519</v>
      </c>
      <c r="T22" s="11">
        <f t="shared" si="25"/>
        <v>75.600013566373519</v>
      </c>
      <c r="U22" s="11">
        <f t="shared" si="9"/>
        <v>15.507419857603267</v>
      </c>
      <c r="V22" s="11">
        <f t="shared" si="10"/>
        <v>-15.507419857603267</v>
      </c>
      <c r="W22" s="11"/>
      <c r="X22" s="14">
        <f t="shared" si="11"/>
        <v>253.75723522934277</v>
      </c>
      <c r="Y22" s="14">
        <f t="shared" si="12"/>
        <v>-1.8221235023041946</v>
      </c>
      <c r="Z22" s="14">
        <f t="shared" si="13"/>
        <v>-0.27065553500432732</v>
      </c>
      <c r="AA22" s="14">
        <f>-Main!D22/2*SIN(ABS(Z22))+X22</f>
        <v>253.44976758971745</v>
      </c>
      <c r="AB22" s="14">
        <f>Main!D22/2*COS(ABS(Z22))*SIGN(Z22)+D22</f>
        <v>-71.516635213132062</v>
      </c>
      <c r="AC22" s="14">
        <f t="shared" si="14"/>
        <v>-0.27502241805378291</v>
      </c>
      <c r="AD22" s="14">
        <f t="shared" si="15"/>
        <v>263.3465659610734</v>
      </c>
      <c r="AE22" s="14">
        <f t="shared" si="23"/>
        <v>75</v>
      </c>
      <c r="AF22" s="14">
        <f t="shared" si="16"/>
        <v>0.28879341594610936</v>
      </c>
      <c r="AG22" s="14">
        <f t="shared" si="17"/>
        <v>16.796847853239179</v>
      </c>
      <c r="AH22" s="14">
        <f>DEGREES(ATAN((Main!S22/2+Main!D22/2)/Main!C22))</f>
        <v>18.312877965380487</v>
      </c>
      <c r="AI22" s="14">
        <f t="shared" si="18"/>
        <v>20</v>
      </c>
      <c r="AJ22" s="21">
        <f>Main!S22*(G22-Main!T22)/G22/25</f>
        <v>1.7468697935951463</v>
      </c>
      <c r="AK22" s="22"/>
      <c r="AL22" s="22"/>
      <c r="AM22" s="22"/>
      <c r="AN22" s="22"/>
      <c r="AO22" s="22"/>
      <c r="AP22" s="22"/>
    </row>
    <row r="23" spans="1:42" ht="15" customHeight="1" x14ac:dyDescent="0.45">
      <c r="A23" s="31">
        <v>21</v>
      </c>
      <c r="B23" s="14">
        <f>'MDSL cloud import'!C23</f>
        <v>277.00200000000001</v>
      </c>
      <c r="C23" s="14">
        <f>'MDSL cloud import'!D23</f>
        <v>70.37124</v>
      </c>
      <c r="D23" s="14">
        <f>'MDSL cloud import'!E23</f>
        <v>-23.4255</v>
      </c>
      <c r="E23" s="11">
        <f t="shared" si="0"/>
        <v>286.75943484633177</v>
      </c>
      <c r="F23" s="11">
        <f t="shared" si="1"/>
        <v>1.0352251422239975</v>
      </c>
      <c r="G23" s="11">
        <f>Main!C23</f>
        <v>86.638243895697059</v>
      </c>
      <c r="H23" s="11">
        <f>E23+G23+Main!T23</f>
        <v>383.3976787420288</v>
      </c>
      <c r="I23" s="11">
        <f t="shared" si="19"/>
        <v>370.35197765615209</v>
      </c>
      <c r="J23" s="11">
        <f t="shared" si="20"/>
        <v>94.08642502261975</v>
      </c>
      <c r="K23" s="11">
        <f t="shared" si="2"/>
        <v>-31.319919179587838</v>
      </c>
      <c r="L23" s="11">
        <f>(H23-Main!T23)/F23*SIGN(B23)</f>
        <v>360.69224317702538</v>
      </c>
      <c r="M23" s="11">
        <f t="shared" si="21"/>
        <v>91.632408469068139</v>
      </c>
      <c r="N23" s="11">
        <f t="shared" si="22"/>
        <v>-30.503014933261881</v>
      </c>
      <c r="O23" s="11">
        <f t="shared" si="3"/>
        <v>191.6988393710144</v>
      </c>
      <c r="P23" s="11">
        <f t="shared" si="4"/>
        <v>185.17598882807604</v>
      </c>
      <c r="Q23" s="11">
        <f t="shared" si="5"/>
        <v>47.043212511309875</v>
      </c>
      <c r="R23" s="11">
        <f t="shared" si="6"/>
        <v>-15.659959589793919</v>
      </c>
      <c r="S23" s="11">
        <f t="shared" si="7"/>
        <v>14.254215271792646</v>
      </c>
      <c r="T23" s="11">
        <f t="shared" ref="T23:T29" si="26">S23+180</f>
        <v>194.25421527179265</v>
      </c>
      <c r="U23" s="11">
        <f t="shared" si="9"/>
        <v>4.6857380217625604</v>
      </c>
      <c r="V23" s="11">
        <f t="shared" si="10"/>
        <v>-4.6857380217625604</v>
      </c>
      <c r="W23" s="11"/>
      <c r="X23" s="14">
        <f t="shared" si="11"/>
        <v>285.80101368458719</v>
      </c>
      <c r="Y23" s="14">
        <f t="shared" si="12"/>
        <v>0.24878298878084007</v>
      </c>
      <c r="Z23" s="14">
        <f t="shared" si="13"/>
        <v>-8.1781556365642438E-2</v>
      </c>
      <c r="AA23" s="14">
        <f>-Main!D23/2*SIN(ABS(Z23))+X23</f>
        <v>285.70706969625968</v>
      </c>
      <c r="AB23" s="14">
        <f>Main!D23/2*COS(ABS(Z23))*SIGN(Z23)+D23</f>
        <v>-24.571656414743259</v>
      </c>
      <c r="AC23" s="14">
        <f t="shared" si="14"/>
        <v>-8.5791864991137057E-2</v>
      </c>
      <c r="AD23" s="14">
        <f t="shared" si="15"/>
        <v>286.76174077688188</v>
      </c>
      <c r="AE23" s="14">
        <f t="shared" si="23"/>
        <v>75</v>
      </c>
      <c r="AF23" s="14">
        <f t="shared" si="16"/>
        <v>0.26461860311545743</v>
      </c>
      <c r="AG23" s="14">
        <f t="shared" si="17"/>
        <v>15.39130289794884</v>
      </c>
      <c r="AH23" s="14">
        <f>DEGREES(ATAN((Main!S23/2+Main!D23/2)/Main!C23))</f>
        <v>16.795376727702681</v>
      </c>
      <c r="AI23" s="14">
        <f t="shared" si="18"/>
        <v>21</v>
      </c>
      <c r="AJ23" s="21">
        <f>Main!S23*(G23-Main!T23)/G23/25</f>
        <v>1.7691550624678198</v>
      </c>
      <c r="AK23" s="22"/>
      <c r="AL23" s="22"/>
      <c r="AM23" s="22"/>
      <c r="AN23" s="22"/>
      <c r="AO23" s="22"/>
      <c r="AP23" s="22"/>
    </row>
    <row r="24" spans="1:42" ht="15" customHeight="1" x14ac:dyDescent="0.45">
      <c r="A24" s="13">
        <v>22</v>
      </c>
      <c r="B24" s="14">
        <f>'MDSL cloud import'!C24</f>
        <v>242.88310000000001</v>
      </c>
      <c r="C24" s="14">
        <f>'MDSL cloud import'!D24</f>
        <v>107.2608</v>
      </c>
      <c r="D24" s="14">
        <f>'MDSL cloud import'!E24</f>
        <v>-23.509599999999999</v>
      </c>
      <c r="E24" s="11">
        <f t="shared" si="0"/>
        <v>266.55164748020223</v>
      </c>
      <c r="F24" s="11">
        <f t="shared" si="1"/>
        <v>1.0974483094138794</v>
      </c>
      <c r="G24" s="11">
        <f>Main!C24</f>
        <v>80.058832079886542</v>
      </c>
      <c r="H24" s="11">
        <f>E24+G24+Main!T24</f>
        <v>356.61047956008878</v>
      </c>
      <c r="I24" s="11">
        <f t="shared" si="19"/>
        <v>324.94512634544566</v>
      </c>
      <c r="J24" s="11">
        <f t="shared" si="20"/>
        <v>143.50061493744758</v>
      </c>
      <c r="K24" s="11">
        <f t="shared" si="2"/>
        <v>-31.452702729547212</v>
      </c>
      <c r="L24" s="11">
        <f>(H24-Main!T24)/F24*SIGN(B24)</f>
        <v>315.83307986979821</v>
      </c>
      <c r="M24" s="11">
        <f t="shared" si="21"/>
        <v>139.47659929117526</v>
      </c>
      <c r="N24" s="11">
        <f t="shared" si="22"/>
        <v>-30.570712307719258</v>
      </c>
      <c r="O24" s="11">
        <f t="shared" si="3"/>
        <v>178.30523978004439</v>
      </c>
      <c r="P24" s="11">
        <f t="shared" si="4"/>
        <v>162.47256317272283</v>
      </c>
      <c r="Q24" s="11">
        <f t="shared" si="5"/>
        <v>71.75030746872379</v>
      </c>
      <c r="R24" s="11">
        <f t="shared" si="6"/>
        <v>-15.726351364773606</v>
      </c>
      <c r="S24" s="11">
        <f t="shared" si="7"/>
        <v>23.826968362455574</v>
      </c>
      <c r="T24" s="11">
        <f t="shared" si="26"/>
        <v>203.82696836245557</v>
      </c>
      <c r="U24" s="11">
        <f t="shared" si="9"/>
        <v>5.0600077517283495</v>
      </c>
      <c r="V24" s="11">
        <f t="shared" si="10"/>
        <v>-5.0600077517283495</v>
      </c>
      <c r="W24" s="11"/>
      <c r="X24" s="14">
        <f t="shared" si="11"/>
        <v>265.51286123698418</v>
      </c>
      <c r="Y24" s="14">
        <f t="shared" si="12"/>
        <v>0.41585904869337142</v>
      </c>
      <c r="Z24" s="14">
        <f t="shared" si="13"/>
        <v>-8.8313795444095455E-2</v>
      </c>
      <c r="AA24" s="14">
        <f>-Main!D24/2*SIN(ABS(Z24))+X24</f>
        <v>265.41143233847396</v>
      </c>
      <c r="AB24" s="14">
        <f>Main!D24/2*COS(ABS(Z24))*SIGN(Z24)+D24</f>
        <v>-24.655118301271088</v>
      </c>
      <c r="AC24" s="14">
        <f t="shared" si="14"/>
        <v>-9.2628129554184493E-2</v>
      </c>
      <c r="AD24" s="14">
        <f t="shared" si="15"/>
        <v>266.55412822616353</v>
      </c>
      <c r="AE24" s="14">
        <f t="shared" si="23"/>
        <v>75</v>
      </c>
      <c r="AF24" s="14">
        <f t="shared" si="16"/>
        <v>0.2852201802263104</v>
      </c>
      <c r="AG24" s="14">
        <f t="shared" si="17"/>
        <v>16.589105694845713</v>
      </c>
      <c r="AH24" s="14">
        <f>DEGREES(ATAN((Main!S24/2+Main!D24/2)/Main!C24))</f>
        <v>18.088839186093548</v>
      </c>
      <c r="AI24" s="14">
        <f t="shared" si="18"/>
        <v>22</v>
      </c>
      <c r="AJ24" s="21">
        <f>Main!S24*(G24-Main!T24)/G24/25</f>
        <v>1.7501837151453441</v>
      </c>
      <c r="AK24" s="22"/>
      <c r="AL24" s="22"/>
      <c r="AM24" s="22"/>
      <c r="AN24" s="22"/>
      <c r="AO24" s="22"/>
      <c r="AP24" s="22"/>
    </row>
    <row r="25" spans="1:42" ht="15" customHeight="1" x14ac:dyDescent="0.45">
      <c r="A25" s="13">
        <v>23</v>
      </c>
      <c r="B25" s="14">
        <f>'MDSL cloud import'!C25</f>
        <v>201.33260000000001</v>
      </c>
      <c r="C25" s="14">
        <f>'MDSL cloud import'!D25</f>
        <v>136.87</v>
      </c>
      <c r="D25" s="14">
        <f>'MDSL cloud import'!E25</f>
        <v>-23.62</v>
      </c>
      <c r="E25" s="11">
        <f t="shared" si="0"/>
        <v>244.59377981207945</v>
      </c>
      <c r="F25" s="11">
        <f t="shared" si="1"/>
        <v>1.214874192316989</v>
      </c>
      <c r="G25" s="11">
        <f>Main!C25</f>
        <v>72.859398120776603</v>
      </c>
      <c r="H25" s="11">
        <f>E25+G25+Main!T25</f>
        <v>327.45317793285608</v>
      </c>
      <c r="I25" s="11">
        <f t="shared" si="19"/>
        <v>269.53669771216602</v>
      </c>
      <c r="J25" s="11">
        <f t="shared" si="20"/>
        <v>183.23653405292617</v>
      </c>
      <c r="K25" s="11">
        <f t="shared" si="2"/>
        <v>-31.621589349967969</v>
      </c>
      <c r="L25" s="11">
        <f>(H25-Main!T25)/F25*SIGN(B25)</f>
        <v>261.30539272335216</v>
      </c>
      <c r="M25" s="11">
        <f t="shared" si="21"/>
        <v>177.64072535717119</v>
      </c>
      <c r="N25" s="11">
        <f t="shared" si="22"/>
        <v>-30.655906575117879</v>
      </c>
      <c r="O25" s="11">
        <f t="shared" si="3"/>
        <v>163.72658896642804</v>
      </c>
      <c r="P25" s="11">
        <f t="shared" si="4"/>
        <v>134.76834885608301</v>
      </c>
      <c r="Q25" s="11">
        <f t="shared" si="5"/>
        <v>91.618267026463087</v>
      </c>
      <c r="R25" s="11">
        <f t="shared" si="6"/>
        <v>-15.810794674983985</v>
      </c>
      <c r="S25" s="11">
        <f t="shared" si="7"/>
        <v>34.208663259544267</v>
      </c>
      <c r="T25" s="11">
        <f t="shared" si="26"/>
        <v>214.20866325954427</v>
      </c>
      <c r="U25" s="11">
        <f t="shared" si="9"/>
        <v>5.5415905561850707</v>
      </c>
      <c r="V25" s="11">
        <f t="shared" si="10"/>
        <v>-5.5415905561850707</v>
      </c>
      <c r="W25" s="11"/>
      <c r="X25" s="14">
        <f t="shared" si="11"/>
        <v>243.45063713771628</v>
      </c>
      <c r="Y25" s="14">
        <f t="shared" si="12"/>
        <v>0.59705380658506302</v>
      </c>
      <c r="Z25" s="14">
        <f t="shared" si="13"/>
        <v>-9.6719001002853328E-2</v>
      </c>
      <c r="AA25" s="14">
        <f>-Main!D25/2*SIN(ABS(Z25))+X25</f>
        <v>243.33958361860851</v>
      </c>
      <c r="AB25" s="14">
        <f>Main!D25/2*COS(ABS(Z25))*SIGN(Z25)+D25</f>
        <v>-24.764625316814975</v>
      </c>
      <c r="AC25" s="14">
        <f t="shared" si="14"/>
        <v>-0.10142063947923938</v>
      </c>
      <c r="AD25" s="14">
        <f t="shared" si="15"/>
        <v>244.59648325918343</v>
      </c>
      <c r="AE25" s="14">
        <f t="shared" si="23"/>
        <v>75</v>
      </c>
      <c r="AF25" s="14">
        <f t="shared" si="16"/>
        <v>0.31164778924217024</v>
      </c>
      <c r="AG25" s="14">
        <f t="shared" si="17"/>
        <v>18.125487059652173</v>
      </c>
      <c r="AH25" s="14">
        <f>DEGREES(ATAN((Main!S25/2+Main!D25/2)/Main!C25))</f>
        <v>19.743593260699637</v>
      </c>
      <c r="AI25" s="14">
        <f t="shared" si="18"/>
        <v>23</v>
      </c>
      <c r="AJ25" s="21">
        <f>Main!S25*(G25-Main!T25)/G25/25</f>
        <v>1.7254986931562808</v>
      </c>
      <c r="AK25" s="22"/>
      <c r="AL25" s="22"/>
      <c r="AM25" s="22"/>
      <c r="AN25" s="22"/>
      <c r="AO25" s="22"/>
      <c r="AP25" s="22"/>
    </row>
    <row r="26" spans="1:42" ht="15" customHeight="1" x14ac:dyDescent="0.45">
      <c r="A26" s="13">
        <v>24</v>
      </c>
      <c r="B26" s="14">
        <f>'MDSL cloud import'!C26</f>
        <v>155.0181</v>
      </c>
      <c r="C26" s="14">
        <f>'MDSL cloud import'!D26</f>
        <v>158.44730000000001</v>
      </c>
      <c r="D26" s="14">
        <f>'MDSL cloud import'!E26</f>
        <v>-23.755299999999998</v>
      </c>
      <c r="E26" s="11">
        <f t="shared" si="0"/>
        <v>222.93602778149162</v>
      </c>
      <c r="F26" s="11">
        <f t="shared" si="1"/>
        <v>1.4381290170727909</v>
      </c>
      <c r="G26" s="11">
        <f>Main!C26</f>
        <v>65.690836749438887</v>
      </c>
      <c r="H26" s="11">
        <f>E26+G26+Main!T26</f>
        <v>298.6268645309305</v>
      </c>
      <c r="I26" s="11">
        <f t="shared" si="19"/>
        <v>207.64956480661533</v>
      </c>
      <c r="J26" s="11">
        <f t="shared" si="20"/>
        <v>212.24304058547503</v>
      </c>
      <c r="K26" s="11">
        <f t="shared" si="2"/>
        <v>-31.820656470764305</v>
      </c>
      <c r="L26" s="11">
        <f>(H26-Main!T26)/F26*SIGN(B26)</f>
        <v>200.69608575064419</v>
      </c>
      <c r="M26" s="11">
        <f t="shared" si="21"/>
        <v>205.13574161828873</v>
      </c>
      <c r="N26" s="11">
        <f t="shared" si="22"/>
        <v>-30.755090701229584</v>
      </c>
      <c r="O26" s="11">
        <f t="shared" si="3"/>
        <v>149.31343226546525</v>
      </c>
      <c r="P26" s="11">
        <f t="shared" si="4"/>
        <v>103.82478240330767</v>
      </c>
      <c r="Q26" s="11">
        <f t="shared" si="5"/>
        <v>106.12152029273751</v>
      </c>
      <c r="R26" s="11">
        <f t="shared" si="6"/>
        <v>-15.910328235382153</v>
      </c>
      <c r="S26" s="11">
        <f t="shared" si="7"/>
        <v>45.626770449794734</v>
      </c>
      <c r="T26" s="11">
        <f t="shared" si="26"/>
        <v>225.62677044979472</v>
      </c>
      <c r="U26" s="11">
        <f t="shared" si="9"/>
        <v>6.1168550351912359</v>
      </c>
      <c r="V26" s="11">
        <f t="shared" si="10"/>
        <v>-6.1168550351912359</v>
      </c>
      <c r="W26" s="11"/>
      <c r="X26" s="14">
        <f t="shared" si="11"/>
        <v>221.66677289323272</v>
      </c>
      <c r="Y26" s="14">
        <f t="shared" si="12"/>
        <v>0.79633737140057215</v>
      </c>
      <c r="Z26" s="14">
        <f t="shared" si="13"/>
        <v>-0.1067592602312806</v>
      </c>
      <c r="AA26" s="14">
        <f>-Main!D26/2*SIN(ABS(Z26))+X26</f>
        <v>221.54423282973622</v>
      </c>
      <c r="AB26" s="14">
        <f>Main!D26/2*COS(ABS(Z26))*SIGN(Z26)+D26</f>
        <v>-24.89875263690206</v>
      </c>
      <c r="AC26" s="14">
        <f t="shared" si="14"/>
        <v>-0.11191764495417561</v>
      </c>
      <c r="AD26" s="14">
        <f t="shared" si="15"/>
        <v>222.93899385928432</v>
      </c>
      <c r="AE26" s="14">
        <f t="shared" si="23"/>
        <v>75</v>
      </c>
      <c r="AF26" s="14">
        <f t="shared" si="16"/>
        <v>0.34310730423426256</v>
      </c>
      <c r="AG26" s="14">
        <f t="shared" si="17"/>
        <v>19.95415412646101</v>
      </c>
      <c r="AH26" s="14">
        <f>DEGREES(ATAN((Main!S26/2+Main!D26/2)/Main!C26))</f>
        <v>21.706355528031878</v>
      </c>
      <c r="AI26" s="14">
        <f t="shared" si="18"/>
        <v>24</v>
      </c>
      <c r="AJ26" s="21">
        <f>Main!S26*(G26-Main!T26)/G26/25</f>
        <v>1.6955435340809411</v>
      </c>
      <c r="AK26" s="22"/>
      <c r="AL26" s="22"/>
      <c r="AM26" s="22"/>
      <c r="AN26" s="22"/>
      <c r="AO26" s="22"/>
      <c r="AP26" s="22"/>
    </row>
    <row r="27" spans="1:42" ht="15" customHeight="1" x14ac:dyDescent="0.45">
      <c r="A27" s="13">
        <v>25</v>
      </c>
      <c r="B27" s="14">
        <f>'MDSL cloud import'!C27</f>
        <v>106.2709</v>
      </c>
      <c r="C27" s="14">
        <f>'MDSL cloud import'!D27</f>
        <v>171.95910000000001</v>
      </c>
      <c r="D27" s="14">
        <f>'MDSL cloud import'!E27</f>
        <v>-23.9071</v>
      </c>
      <c r="E27" s="11">
        <f t="shared" si="0"/>
        <v>203.55585398123534</v>
      </c>
      <c r="F27" s="11">
        <f t="shared" si="1"/>
        <v>1.9154430232663442</v>
      </c>
      <c r="G27" s="11">
        <f>Main!C27</f>
        <v>59.199305669602019</v>
      </c>
      <c r="H27" s="11">
        <f>E27+G27+Main!T27</f>
        <v>272.75515965083736</v>
      </c>
      <c r="I27" s="11">
        <f t="shared" si="19"/>
        <v>142.39794989344901</v>
      </c>
      <c r="J27" s="11">
        <f t="shared" si="20"/>
        <v>230.41701261137894</v>
      </c>
      <c r="K27" s="11">
        <f t="shared" si="2"/>
        <v>-32.034376559318446</v>
      </c>
      <c r="L27" s="11">
        <f>(H27-Main!T27)/F27*SIGN(B27)</f>
        <v>137.17722556047076</v>
      </c>
      <c r="M27" s="11">
        <f t="shared" si="21"/>
        <v>221.96925261643167</v>
      </c>
      <c r="N27" s="11">
        <f t="shared" si="22"/>
        <v>-30.859902844492055</v>
      </c>
      <c r="O27" s="11">
        <f t="shared" si="3"/>
        <v>136.37757982541868</v>
      </c>
      <c r="P27" s="11">
        <f t="shared" si="4"/>
        <v>71.198974946724505</v>
      </c>
      <c r="Q27" s="11">
        <f t="shared" si="5"/>
        <v>115.20850630568947</v>
      </c>
      <c r="R27" s="11">
        <f t="shared" si="6"/>
        <v>-16.017188279659223</v>
      </c>
      <c r="S27" s="11">
        <f t="shared" si="7"/>
        <v>58.283892287086502</v>
      </c>
      <c r="T27" s="11">
        <f t="shared" si="26"/>
        <v>238.2838922870865</v>
      </c>
      <c r="U27" s="11">
        <f t="shared" si="9"/>
        <v>6.7448059162242942</v>
      </c>
      <c r="V27" s="11">
        <f t="shared" si="10"/>
        <v>-6.7448059162242942</v>
      </c>
      <c r="W27" s="11"/>
      <c r="X27" s="14">
        <f t="shared" si="11"/>
        <v>202.14706591889976</v>
      </c>
      <c r="Y27" s="14">
        <f t="shared" si="12"/>
        <v>1.0172458212873876</v>
      </c>
      <c r="Z27" s="14">
        <f t="shared" si="13"/>
        <v>-0.11771907064610672</v>
      </c>
      <c r="AA27" s="14">
        <f>-Main!D27/2*SIN(ABS(Z27))+X27</f>
        <v>202.01200144169471</v>
      </c>
      <c r="AB27" s="14">
        <f>Main!D27/2*COS(ABS(Z27))*SIGN(Z27)+D27</f>
        <v>-25.049140974307548</v>
      </c>
      <c r="AC27" s="14">
        <f t="shared" si="14"/>
        <v>-0.12336856557691495</v>
      </c>
      <c r="AD27" s="14">
        <f t="shared" si="15"/>
        <v>203.5591024494606</v>
      </c>
      <c r="AE27" s="14">
        <f t="shared" si="23"/>
        <v>75</v>
      </c>
      <c r="AF27" s="14">
        <f t="shared" si="16"/>
        <v>0.37733402945866318</v>
      </c>
      <c r="AG27" s="14">
        <f t="shared" si="17"/>
        <v>21.94333957056234</v>
      </c>
      <c r="AH27" s="14">
        <f>DEGREES(ATAN((Main!S27/2+Main!D27/2)/Main!C27))</f>
        <v>23.832397317948566</v>
      </c>
      <c r="AI27" s="14">
        <f t="shared" si="18"/>
        <v>25</v>
      </c>
      <c r="AJ27" s="21">
        <f>Main!S27*(G27-Main!T27)/G27/25</f>
        <v>1.6621581997663579</v>
      </c>
      <c r="AK27" s="22"/>
      <c r="AL27" s="22"/>
      <c r="AM27" s="22"/>
      <c r="AN27" s="22"/>
      <c r="AO27" s="22"/>
      <c r="AP27" s="22"/>
    </row>
    <row r="28" spans="1:42" ht="15" customHeight="1" x14ac:dyDescent="0.45">
      <c r="A28" s="13">
        <v>26</v>
      </c>
      <c r="B28" s="14">
        <f>'MDSL cloud import'!C28</f>
        <v>56.740560000000002</v>
      </c>
      <c r="C28" s="14">
        <f>'MDSL cloud import'!D28</f>
        <v>177.77029999999999</v>
      </c>
      <c r="D28" s="14">
        <f>'MDSL cloud import'!E28</f>
        <v>-24.0565</v>
      </c>
      <c r="E28" s="11">
        <f t="shared" si="0"/>
        <v>188.15016849169598</v>
      </c>
      <c r="F28" s="11">
        <f t="shared" si="1"/>
        <v>3.315973062156877</v>
      </c>
      <c r="G28" s="11">
        <f>Main!C28</f>
        <v>53.969214753514009</v>
      </c>
      <c r="H28" s="11">
        <f>E28+G28+Main!T28</f>
        <v>252.11938324520997</v>
      </c>
      <c r="I28" s="11">
        <f t="shared" si="19"/>
        <v>76.031794746010007</v>
      </c>
      <c r="J28" s="11">
        <f t="shared" si="20"/>
        <v>238.21046111523435</v>
      </c>
      <c r="K28" s="11">
        <f t="shared" si="2"/>
        <v>-32.235474417372508</v>
      </c>
      <c r="L28" s="11">
        <f>(H28-Main!T28)/F28*SIGN(B28)</f>
        <v>73.016088703604623</v>
      </c>
      <c r="M28" s="11">
        <f t="shared" si="21"/>
        <v>228.76214111504018</v>
      </c>
      <c r="N28" s="11">
        <f t="shared" si="22"/>
        <v>-30.956894642884464</v>
      </c>
      <c r="O28" s="11">
        <f t="shared" si="3"/>
        <v>126.05969162260499</v>
      </c>
      <c r="P28" s="11">
        <f t="shared" si="4"/>
        <v>38.015897373005004</v>
      </c>
      <c r="Q28" s="11">
        <f t="shared" si="5"/>
        <v>119.10523055761718</v>
      </c>
      <c r="R28" s="11">
        <f t="shared" si="6"/>
        <v>-16.117737208686254</v>
      </c>
      <c r="S28" s="11">
        <f t="shared" si="7"/>
        <v>72.29800500153047</v>
      </c>
      <c r="T28" s="11">
        <f t="shared" si="26"/>
        <v>252.29800500153047</v>
      </c>
      <c r="U28" s="11">
        <f t="shared" si="9"/>
        <v>7.345830502233639</v>
      </c>
      <c r="V28" s="11">
        <f t="shared" si="10"/>
        <v>-7.345830502233639</v>
      </c>
      <c r="W28" s="11"/>
      <c r="X28" s="14">
        <f t="shared" si="11"/>
        <v>186.60592356943977</v>
      </c>
      <c r="Y28" s="14">
        <f t="shared" si="12"/>
        <v>1.2618382299000346</v>
      </c>
      <c r="Z28" s="14">
        <f t="shared" si="13"/>
        <v>-0.12820892855740565</v>
      </c>
      <c r="AA28" s="14">
        <f>-Main!D28/2*SIN(ABS(Z28))+X28</f>
        <v>186.45888689537364</v>
      </c>
      <c r="AB28" s="14">
        <f>Main!D28/2*COS(ABS(Z28))*SIGN(Z28)+D28</f>
        <v>-25.19706136024309</v>
      </c>
      <c r="AC28" s="14">
        <f t="shared" si="14"/>
        <v>-0.13432099153815941</v>
      </c>
      <c r="AD28" s="14">
        <f t="shared" si="15"/>
        <v>188.15368293885081</v>
      </c>
      <c r="AE28" s="14">
        <f t="shared" si="23"/>
        <v>75</v>
      </c>
      <c r="AF28" s="14">
        <f t="shared" si="16"/>
        <v>0.41000108302249749</v>
      </c>
      <c r="AG28" s="14">
        <f t="shared" si="17"/>
        <v>23.841527065897314</v>
      </c>
      <c r="AH28" s="14">
        <f>DEGREES(ATAN((Main!S28/2+Main!D28/2)/Main!C28))</f>
        <v>25.851835122833503</v>
      </c>
      <c r="AI28" s="14">
        <f t="shared" si="18"/>
        <v>26</v>
      </c>
      <c r="AJ28" s="21">
        <f>Main!S28*(G28-Main!T28)/G28/25</f>
        <v>1.6294183620913665</v>
      </c>
      <c r="AK28" s="22"/>
      <c r="AL28" s="22"/>
      <c r="AM28" s="22"/>
      <c r="AN28" s="22"/>
      <c r="AO28" s="22"/>
      <c r="AP28" s="22"/>
    </row>
    <row r="29" spans="1:42" ht="15" customHeight="1" x14ac:dyDescent="0.45">
      <c r="A29" s="13">
        <v>27</v>
      </c>
      <c r="B29" s="14">
        <f>'MDSL cloud import'!C29</f>
        <v>7.3514189999999999</v>
      </c>
      <c r="C29" s="14">
        <f>'MDSL cloud import'!D29</f>
        <v>176.24610000000001</v>
      </c>
      <c r="D29" s="14">
        <f>'MDSL cloud import'!E29</f>
        <v>-24.172799999999999</v>
      </c>
      <c r="E29" s="11">
        <f t="shared" si="0"/>
        <v>178.04790194316686</v>
      </c>
      <c r="F29" s="11">
        <f t="shared" si="1"/>
        <v>24.219528494181446</v>
      </c>
      <c r="G29" s="11">
        <f>Main!C29</f>
        <v>50.495913662547991</v>
      </c>
      <c r="H29" s="11">
        <f>E29+G29+Main!T29</f>
        <v>238.54381560571485</v>
      </c>
      <c r="I29" s="11">
        <f t="shared" si="19"/>
        <v>9.8492344994669558</v>
      </c>
      <c r="J29" s="11">
        <f t="shared" si="20"/>
        <v>236.12980956690171</v>
      </c>
      <c r="K29" s="11">
        <f t="shared" si="2"/>
        <v>-32.386070731203709</v>
      </c>
      <c r="L29" s="11">
        <f>(H29-Main!T29)/F29*SIGN(B29)</f>
        <v>9.4363445457090851</v>
      </c>
      <c r="M29" s="11">
        <f t="shared" si="21"/>
        <v>226.23100716167835</v>
      </c>
      <c r="N29" s="11">
        <f t="shared" si="22"/>
        <v>-31.02841362116845</v>
      </c>
      <c r="O29" s="11">
        <f t="shared" si="3"/>
        <v>119.27190780285743</v>
      </c>
      <c r="P29" s="11">
        <f t="shared" si="4"/>
        <v>4.9246172497334779</v>
      </c>
      <c r="Q29" s="11">
        <f t="shared" si="5"/>
        <v>118.06490478345086</v>
      </c>
      <c r="R29" s="11">
        <f t="shared" si="6"/>
        <v>-16.193035365601855</v>
      </c>
      <c r="S29" s="11">
        <f t="shared" si="7"/>
        <v>87.611514447242925</v>
      </c>
      <c r="T29" s="11">
        <f t="shared" si="26"/>
        <v>267.61151444724294</v>
      </c>
      <c r="U29" s="11">
        <f t="shared" si="9"/>
        <v>7.802899565609323</v>
      </c>
      <c r="V29" s="11">
        <f t="shared" si="10"/>
        <v>-7.802899565609323</v>
      </c>
      <c r="W29" s="11"/>
      <c r="X29" s="14">
        <f t="shared" si="11"/>
        <v>176.39935126446346</v>
      </c>
      <c r="Y29" s="14">
        <f t="shared" si="12"/>
        <v>1.5291093897629688</v>
      </c>
      <c r="Z29" s="14">
        <f t="shared" si="13"/>
        <v>-0.13618628862231791</v>
      </c>
      <c r="AA29" s="14">
        <f>-Main!D29/2*SIN(ABS(Z29))+X29</f>
        <v>176.2432206968094</v>
      </c>
      <c r="AB29" s="14">
        <f>Main!D29/2*COS(ABS(Z29))*SIGN(Z29)+D29</f>
        <v>-25.312152116706692</v>
      </c>
      <c r="AC29" s="14">
        <f t="shared" si="14"/>
        <v>-0.14264513478678056</v>
      </c>
      <c r="AD29" s="14">
        <f t="shared" si="15"/>
        <v>178.05161579262224</v>
      </c>
      <c r="AE29" s="14">
        <f t="shared" si="23"/>
        <v>75</v>
      </c>
      <c r="AF29" s="14">
        <f t="shared" si="16"/>
        <v>0.43479685766433041</v>
      </c>
      <c r="AG29" s="14">
        <f t="shared" si="17"/>
        <v>25.282089515464484</v>
      </c>
      <c r="AH29" s="14">
        <f>DEGREES(ATAN((Main!S29/2+Main!D29/2)/Main!C29))</f>
        <v>27.37799840798208</v>
      </c>
      <c r="AI29" s="14">
        <f t="shared" si="18"/>
        <v>27</v>
      </c>
      <c r="AJ29" s="21">
        <f>Main!S29*(G29-Main!T29)/G29/25</f>
        <v>1.603928346882578</v>
      </c>
      <c r="AK29" s="22"/>
      <c r="AL29" s="22"/>
      <c r="AM29" s="22"/>
      <c r="AN29" s="22"/>
      <c r="AO29" s="22"/>
      <c r="AP29" s="22"/>
    </row>
    <row r="30" spans="1:42" ht="15" customHeight="1" x14ac:dyDescent="0.45">
      <c r="A30" s="31">
        <v>28</v>
      </c>
      <c r="B30" s="14">
        <f>'MDSL cloud import'!C30</f>
        <v>-41.758299999999998</v>
      </c>
      <c r="C30" s="14">
        <f>'MDSL cloud import'!D30</f>
        <v>167.3279</v>
      </c>
      <c r="D30" s="14">
        <f>'MDSL cloud import'!E30</f>
        <v>-24.2224</v>
      </c>
      <c r="E30" s="11">
        <f t="shared" si="0"/>
        <v>174.15253773362016</v>
      </c>
      <c r="F30" s="11">
        <f t="shared" si="1"/>
        <v>4.1704891658333842</v>
      </c>
      <c r="G30" s="11">
        <f>Main!C30</f>
        <v>49.145501948456534</v>
      </c>
      <c r="H30" s="11">
        <f>E30+G30+Main!T30</f>
        <v>233.29803968207671</v>
      </c>
      <c r="I30" s="11">
        <f t="shared" si="19"/>
        <v>-55.94020998624439</v>
      </c>
      <c r="J30" s="11">
        <f t="shared" si="20"/>
        <v>224.15562564944702</v>
      </c>
      <c r="K30" s="11">
        <f t="shared" si="2"/>
        <v>-32.448786046625614</v>
      </c>
      <c r="L30" s="11">
        <f>(H30-Main!T30)/F30*SIGN(B30)</f>
        <v>-53.542409727722024</v>
      </c>
      <c r="M30" s="11">
        <f t="shared" si="21"/>
        <v>214.54750266843473</v>
      </c>
      <c r="N30" s="11">
        <f t="shared" si="22"/>
        <v>-31.057913406167732</v>
      </c>
      <c r="O30" s="11">
        <f t="shared" si="3"/>
        <v>116.64901984103835</v>
      </c>
      <c r="P30" s="11">
        <f t="shared" si="4"/>
        <v>-27.970104993122195</v>
      </c>
      <c r="Q30" s="11">
        <f t="shared" si="5"/>
        <v>112.07781282472351</v>
      </c>
      <c r="R30" s="11">
        <f t="shared" si="6"/>
        <v>-16.224393023312807</v>
      </c>
      <c r="S30" s="11">
        <f t="shared" si="7"/>
        <v>75.987502531244289</v>
      </c>
      <c r="T30" s="11">
        <f t="shared" ref="T30:T35" si="27">-S30</f>
        <v>-75.987502531244289</v>
      </c>
      <c r="U30" s="11">
        <f t="shared" si="9"/>
        <v>7.9950336044149566</v>
      </c>
      <c r="V30" s="11">
        <f t="shared" si="10"/>
        <v>-7.9950336044149566</v>
      </c>
      <c r="W30" s="11"/>
      <c r="X30" s="14">
        <f t="shared" si="11"/>
        <v>172.45979745233379</v>
      </c>
      <c r="Y30" s="14">
        <f t="shared" si="12"/>
        <v>1.815360544052055</v>
      </c>
      <c r="Z30" s="14">
        <f t="shared" si="13"/>
        <v>-0.13953966020463082</v>
      </c>
      <c r="AA30" s="14">
        <f>-Main!D30/2*SIN(ABS(Z30))+X30</f>
        <v>172.29984709868114</v>
      </c>
      <c r="AB30" s="14">
        <f>Main!D30/2*COS(ABS(Z30))*SIGN(Z30)+D30</f>
        <v>-25.361222147820452</v>
      </c>
      <c r="AC30" s="14">
        <f t="shared" si="14"/>
        <v>-0.1461429707286207</v>
      </c>
      <c r="AD30" s="14">
        <f t="shared" si="15"/>
        <v>174.15633465096812</v>
      </c>
      <c r="AE30" s="14">
        <f t="shared" si="23"/>
        <v>75</v>
      </c>
      <c r="AF30" s="14">
        <f t="shared" si="16"/>
        <v>0.44521015251189933</v>
      </c>
      <c r="AG30" s="14">
        <f t="shared" si="17"/>
        <v>25.887004559146479</v>
      </c>
      <c r="AH30" s="14">
        <f>DEGREES(ATAN((Main!S30/2+Main!D30/2)/Main!C30))</f>
        <v>28.017150729106145</v>
      </c>
      <c r="AI30" s="14">
        <f t="shared" si="18"/>
        <v>28</v>
      </c>
      <c r="AJ30" s="21">
        <f>Main!S30*(G30-Main!T30)/G30/25</f>
        <v>1.5930451576020963</v>
      </c>
      <c r="AK30" s="22"/>
      <c r="AL30" s="22"/>
      <c r="AM30" s="22"/>
      <c r="AN30" s="22"/>
      <c r="AO30" s="22"/>
      <c r="AP30" s="22"/>
    </row>
    <row r="31" spans="1:42" ht="15" customHeight="1" x14ac:dyDescent="0.45">
      <c r="A31" s="13">
        <v>29</v>
      </c>
      <c r="B31" s="14">
        <f>'MDSL cloud import'!C31</f>
        <v>-89.062299999999993</v>
      </c>
      <c r="C31" s="14">
        <f>'MDSL cloud import'!D31</f>
        <v>150.8126</v>
      </c>
      <c r="D31" s="14">
        <f>'MDSL cloud import'!E31</f>
        <v>-24.188300000000002</v>
      </c>
      <c r="E31" s="11">
        <f t="shared" si="0"/>
        <v>176.80952309460031</v>
      </c>
      <c r="F31" s="11">
        <f t="shared" si="1"/>
        <v>1.9852341910617659</v>
      </c>
      <c r="G31" s="11">
        <f>Main!C31</f>
        <v>50.067327093521619</v>
      </c>
      <c r="H31" s="11">
        <f>E31+G31+Main!T31</f>
        <v>236.87685018812192</v>
      </c>
      <c r="I31" s="11">
        <f t="shared" si="19"/>
        <v>-119.31934844494729</v>
      </c>
      <c r="J31" s="11">
        <f t="shared" si="20"/>
        <v>202.04801772791023</v>
      </c>
      <c r="K31" s="11">
        <f t="shared" si="2"/>
        <v>-32.405767603025289</v>
      </c>
      <c r="L31" s="11">
        <f>(H31-Main!T31)/F31*SIGN(B31)</f>
        <v>-114.28215935913386</v>
      </c>
      <c r="M31" s="11">
        <f t="shared" si="21"/>
        <v>193.51835273247278</v>
      </c>
      <c r="N31" s="11">
        <f t="shared" si="22"/>
        <v>-31.037724774978166</v>
      </c>
      <c r="O31" s="11">
        <f t="shared" si="3"/>
        <v>118.43842509406096</v>
      </c>
      <c r="P31" s="11">
        <f t="shared" si="4"/>
        <v>-59.659674222473647</v>
      </c>
      <c r="Q31" s="11">
        <f t="shared" si="5"/>
        <v>101.02400886395512</v>
      </c>
      <c r="R31" s="11">
        <f t="shared" si="6"/>
        <v>-16.202883801512645</v>
      </c>
      <c r="S31" s="11">
        <f t="shared" si="7"/>
        <v>59.436047949223919</v>
      </c>
      <c r="T31" s="11">
        <f t="shared" si="27"/>
        <v>-59.436047949223919</v>
      </c>
      <c r="U31" s="11">
        <f t="shared" si="9"/>
        <v>7.8629657869469867</v>
      </c>
      <c r="V31" s="11">
        <f t="shared" si="10"/>
        <v>-7.8629657869469867</v>
      </c>
      <c r="W31" s="11"/>
      <c r="X31" s="14">
        <f t="shared" si="11"/>
        <v>175.14717696854265</v>
      </c>
      <c r="Y31" s="14">
        <f t="shared" si="12"/>
        <v>2.1042379225026124</v>
      </c>
      <c r="Z31" s="14">
        <f t="shared" si="13"/>
        <v>-0.13723464195389193</v>
      </c>
      <c r="AA31" s="14">
        <f>-Main!D31/2*SIN(ABS(Z31))+X31</f>
        <v>174.98985204331723</v>
      </c>
      <c r="AB31" s="14">
        <f>Main!D31/2*COS(ABS(Z31))*SIGN(Z31)+D31</f>
        <v>-25.327487810636516</v>
      </c>
      <c r="AC31" s="14">
        <f t="shared" si="14"/>
        <v>-0.14373872478631461</v>
      </c>
      <c r="AD31" s="14">
        <f t="shared" si="15"/>
        <v>176.81326295541291</v>
      </c>
      <c r="AE31" s="14">
        <f t="shared" si="23"/>
        <v>75</v>
      </c>
      <c r="AF31" s="14">
        <f t="shared" si="16"/>
        <v>0.43805213549065714</v>
      </c>
      <c r="AG31" s="14">
        <f t="shared" si="17"/>
        <v>25.471195066208868</v>
      </c>
      <c r="AH31" s="14">
        <f>DEGREES(ATAN((Main!S31/2+Main!D31/2)/Main!C31))</f>
        <v>27.577916988631973</v>
      </c>
      <c r="AI31" s="14">
        <f t="shared" si="18"/>
        <v>29</v>
      </c>
      <c r="AJ31" s="21">
        <f>Main!S31*(G31-Main!T31)/G31/25</f>
        <v>1.6005378924534626</v>
      </c>
      <c r="AK31" s="22"/>
      <c r="AL31" s="22"/>
      <c r="AM31" s="22"/>
      <c r="AN31" s="22"/>
      <c r="AO31" s="22"/>
      <c r="AP31" s="22"/>
    </row>
    <row r="32" spans="1:42" ht="15" customHeight="1" x14ac:dyDescent="0.45">
      <c r="A32" s="13">
        <v>30</v>
      </c>
      <c r="B32" s="14">
        <f>'MDSL cloud import'!C32</f>
        <v>-132.36099999999999</v>
      </c>
      <c r="C32" s="14">
        <f>'MDSL cloud import'!D32</f>
        <v>126.955</v>
      </c>
      <c r="D32" s="14">
        <f>'MDSL cloud import'!E32</f>
        <v>-24.091200000000001</v>
      </c>
      <c r="E32" s="11">
        <f t="shared" si="0"/>
        <v>184.97943740708044</v>
      </c>
      <c r="F32" s="11">
        <f t="shared" si="1"/>
        <v>1.3975373214699229</v>
      </c>
      <c r="G32" s="11">
        <f>Main!C32</f>
        <v>52.883243871265748</v>
      </c>
      <c r="H32" s="11">
        <f>E32+G32+Main!T32</f>
        <v>247.8626812783462</v>
      </c>
      <c r="I32" s="11">
        <f t="shared" si="19"/>
        <v>-177.35675281834008</v>
      </c>
      <c r="J32" s="11">
        <f t="shared" si="20"/>
        <v>170.11299819472779</v>
      </c>
      <c r="K32" s="11">
        <f t="shared" si="2"/>
        <v>-32.28093625386024</v>
      </c>
      <c r="L32" s="11">
        <f>(H32-Main!T32)/F32*SIGN(B32)</f>
        <v>-170.20130884816973</v>
      </c>
      <c r="M32" s="11">
        <f t="shared" si="21"/>
        <v>163.24980292396847</v>
      </c>
      <c r="N32" s="11">
        <f t="shared" si="22"/>
        <v>-30.978564469315181</v>
      </c>
      <c r="O32" s="11">
        <f t="shared" si="3"/>
        <v>123.9313406391731</v>
      </c>
      <c r="P32" s="11">
        <f t="shared" si="4"/>
        <v>-88.678376409170042</v>
      </c>
      <c r="Q32" s="11">
        <f t="shared" si="5"/>
        <v>85.056499097363897</v>
      </c>
      <c r="R32" s="11">
        <f t="shared" si="6"/>
        <v>-16.14046812693012</v>
      </c>
      <c r="S32" s="11">
        <f t="shared" si="7"/>
        <v>43.805719183485337</v>
      </c>
      <c r="T32" s="11">
        <f t="shared" si="27"/>
        <v>-43.805719183485337</v>
      </c>
      <c r="U32" s="11">
        <f t="shared" si="9"/>
        <v>7.483298161980187</v>
      </c>
      <c r="V32" s="11">
        <f t="shared" si="10"/>
        <v>-7.483298161980187</v>
      </c>
      <c r="W32" s="11"/>
      <c r="X32" s="14">
        <f t="shared" si="11"/>
        <v>183.40394310374026</v>
      </c>
      <c r="Y32" s="14">
        <f t="shared" si="12"/>
        <v>2.3770386226339317</v>
      </c>
      <c r="Z32" s="14">
        <f t="shared" si="13"/>
        <v>-0.13060819183499414</v>
      </c>
      <c r="AA32" s="14">
        <f>-Main!D32/2*SIN(ABS(Z32))+X32</f>
        <v>183.25417034851759</v>
      </c>
      <c r="AB32" s="14">
        <f>Main!D32/2*COS(ABS(Z32))*SIGN(Z32)+D32</f>
        <v>-25.23140529809022</v>
      </c>
      <c r="AC32" s="14">
        <f t="shared" si="14"/>
        <v>-0.13682501896267241</v>
      </c>
      <c r="AD32" s="14">
        <f t="shared" si="15"/>
        <v>184.98301209419202</v>
      </c>
      <c r="AE32" s="14">
        <f t="shared" si="23"/>
        <v>75</v>
      </c>
      <c r="AF32" s="14">
        <f t="shared" si="16"/>
        <v>0.41746299905432321</v>
      </c>
      <c r="AG32" s="14">
        <f t="shared" si="17"/>
        <v>24.275065905065002</v>
      </c>
      <c r="AH32" s="14">
        <f>DEGREES(ATAN((Main!S32/2+Main!D32/2)/Main!C32))</f>
        <v>26.311730344504141</v>
      </c>
      <c r="AI32" s="14">
        <f t="shared" si="18"/>
        <v>30</v>
      </c>
      <c r="AJ32" s="21">
        <f>Main!S32*(G32-Main!T32)/G32/25</f>
        <v>1.6218083737698428</v>
      </c>
      <c r="AK32" s="22"/>
      <c r="AL32" s="22"/>
      <c r="AM32" s="22"/>
      <c r="AN32" s="22"/>
      <c r="AO32" s="22"/>
      <c r="AP32" s="22"/>
    </row>
    <row r="33" spans="1:42" ht="15" customHeight="1" x14ac:dyDescent="0.45">
      <c r="A33" s="13">
        <v>31</v>
      </c>
      <c r="B33" s="14">
        <f>'MDSL cloud import'!C33</f>
        <v>-170.499</v>
      </c>
      <c r="C33" s="14">
        <f>'MDSL cloud import'!D33</f>
        <v>95.572720000000004</v>
      </c>
      <c r="D33" s="14">
        <f>'MDSL cloud import'!E33</f>
        <v>-23.9678</v>
      </c>
      <c r="E33" s="11">
        <f t="shared" si="0"/>
        <v>196.92259709347326</v>
      </c>
      <c r="F33" s="11">
        <f t="shared" si="1"/>
        <v>1.1549780180146116</v>
      </c>
      <c r="G33" s="11">
        <f>Main!C33</f>
        <v>56.956125596086267</v>
      </c>
      <c r="H33" s="11">
        <f>E33+G33+Main!T33</f>
        <v>263.87872268955954</v>
      </c>
      <c r="I33" s="11">
        <f t="shared" si="19"/>
        <v>-228.47077483185589</v>
      </c>
      <c r="J33" s="11">
        <f t="shared" si="20"/>
        <v>128.06863026286379</v>
      </c>
      <c r="K33" s="11">
        <f t="shared" si="2"/>
        <v>-32.117149291285912</v>
      </c>
      <c r="L33" s="11">
        <f>(H33-Main!T33)/F33*SIGN(B33)</f>
        <v>-219.81260139130001</v>
      </c>
      <c r="M33" s="11">
        <f t="shared" si="21"/>
        <v>123.21531624961041</v>
      </c>
      <c r="N33" s="11">
        <f t="shared" si="22"/>
        <v>-30.900031481864414</v>
      </c>
      <c r="O33" s="11">
        <f t="shared" si="3"/>
        <v>131.93936134477977</v>
      </c>
      <c r="P33" s="11">
        <f t="shared" si="4"/>
        <v>-114.23538741592795</v>
      </c>
      <c r="Q33" s="11">
        <f t="shared" si="5"/>
        <v>64.034315131431896</v>
      </c>
      <c r="R33" s="11">
        <f t="shared" si="6"/>
        <v>-16.058574645642956</v>
      </c>
      <c r="S33" s="11">
        <f t="shared" si="7"/>
        <v>29.272683834126891</v>
      </c>
      <c r="T33" s="11">
        <f t="shared" si="27"/>
        <v>-29.272683834126891</v>
      </c>
      <c r="U33" s="11">
        <f t="shared" si="9"/>
        <v>6.9909046282808163</v>
      </c>
      <c r="V33" s="11">
        <f t="shared" si="10"/>
        <v>-6.9909046282808163</v>
      </c>
      <c r="W33" s="11"/>
      <c r="X33" s="14">
        <f t="shared" si="11"/>
        <v>195.45857312790963</v>
      </c>
      <c r="Y33" s="14">
        <f t="shared" si="12"/>
        <v>2.6306879397889613</v>
      </c>
      <c r="Z33" s="14">
        <f t="shared" si="13"/>
        <v>-0.1220143034564105</v>
      </c>
      <c r="AA33" s="14">
        <f>-Main!D33/2*SIN(ABS(Z33))+X33</f>
        <v>195.31860457982617</v>
      </c>
      <c r="AB33" s="14">
        <f>Main!D33/2*COS(ABS(Z33))*SIGN(Z33)+D33</f>
        <v>-25.109250307962377</v>
      </c>
      <c r="AC33" s="14">
        <f t="shared" si="14"/>
        <v>-0.12785409504997844</v>
      </c>
      <c r="AD33" s="14">
        <f t="shared" si="15"/>
        <v>196.92595498318244</v>
      </c>
      <c r="AE33" s="14">
        <f t="shared" si="23"/>
        <v>75</v>
      </c>
      <c r="AF33" s="14">
        <f t="shared" si="16"/>
        <v>0.39071952167184115</v>
      </c>
      <c r="AG33" s="14">
        <f t="shared" si="17"/>
        <v>22.721174976714224</v>
      </c>
      <c r="AH33" s="14">
        <f>DEGREES(ATAN((Main!S33/2+Main!D33/2)/Main!C33))</f>
        <v>24.661053950124078</v>
      </c>
      <c r="AI33" s="14">
        <f t="shared" si="18"/>
        <v>31</v>
      </c>
      <c r="AJ33" s="21">
        <f>Main!S33*(G33-Main!T33)/G33/25</f>
        <v>1.6488525195369979</v>
      </c>
      <c r="AK33" s="22"/>
      <c r="AL33" s="22"/>
      <c r="AM33" s="22"/>
      <c r="AN33" s="22"/>
      <c r="AO33" s="22"/>
      <c r="AP33" s="22"/>
    </row>
    <row r="34" spans="1:42" ht="15" customHeight="1" x14ac:dyDescent="0.45">
      <c r="A34" s="13">
        <v>32</v>
      </c>
      <c r="B34" s="14">
        <f>'MDSL cloud import'!C34</f>
        <v>-201.25800000000001</v>
      </c>
      <c r="C34" s="14">
        <f>'MDSL cloud import'!D34</f>
        <v>56.977739999999997</v>
      </c>
      <c r="D34" s="14">
        <f>'MDSL cloud import'!E34</f>
        <v>-23.848500000000001</v>
      </c>
      <c r="E34" s="11">
        <f t="shared" si="0"/>
        <v>210.52314925384712</v>
      </c>
      <c r="F34" s="11">
        <f t="shared" si="1"/>
        <v>1.0460361787051802</v>
      </c>
      <c r="G34" s="11">
        <f>Main!C34</f>
        <v>61.542946761910066</v>
      </c>
      <c r="H34" s="11">
        <f>E34+G34+Main!T34</f>
        <v>282.06609601575718</v>
      </c>
      <c r="I34" s="11">
        <f t="shared" si="19"/>
        <v>-269.65233302437815</v>
      </c>
      <c r="J34" s="11">
        <f t="shared" si="20"/>
        <v>76.340719481741999</v>
      </c>
      <c r="K34" s="11">
        <f t="shared" si="2"/>
        <v>-31.953033738444599</v>
      </c>
      <c r="L34" s="11">
        <f>(H34-Main!T34)/F34*SIGN(B34)</f>
        <v>-260.09243423351762</v>
      </c>
      <c r="M34" s="11">
        <f t="shared" si="21"/>
        <v>73.634236123406097</v>
      </c>
      <c r="N34" s="11">
        <f t="shared" si="22"/>
        <v>-30.820212949637011</v>
      </c>
      <c r="O34" s="11">
        <f t="shared" si="3"/>
        <v>141.03304800787859</v>
      </c>
      <c r="P34" s="11">
        <f t="shared" si="4"/>
        <v>-134.82616651218908</v>
      </c>
      <c r="Q34" s="11">
        <f t="shared" si="5"/>
        <v>38.170359740871</v>
      </c>
      <c r="R34" s="11">
        <f t="shared" si="6"/>
        <v>-15.9765168692223</v>
      </c>
      <c r="S34" s="11">
        <f t="shared" si="7"/>
        <v>15.80723941078455</v>
      </c>
      <c r="T34" s="11">
        <f t="shared" si="27"/>
        <v>-15.80723941078455</v>
      </c>
      <c r="U34" s="11">
        <f t="shared" si="9"/>
        <v>6.5045478930677234</v>
      </c>
      <c r="V34" s="11">
        <f t="shared" si="10"/>
        <v>-6.5045478930677234</v>
      </c>
      <c r="W34" s="11"/>
      <c r="X34" s="14">
        <f t="shared" si="11"/>
        <v>209.16798373438417</v>
      </c>
      <c r="Y34" s="14">
        <f t="shared" si="12"/>
        <v>2.8657042802205943</v>
      </c>
      <c r="Z34" s="14">
        <f t="shared" si="13"/>
        <v>-0.11352577708769178</v>
      </c>
      <c r="AA34" s="14">
        <f>-Main!D34/2*SIN(ABS(Z34))+X34</f>
        <v>209.03770934367128</v>
      </c>
      <c r="AB34" s="14">
        <f>Main!D34/2*COS(ABS(Z34))*SIGN(Z34)+D34</f>
        <v>-24.991097297005552</v>
      </c>
      <c r="AC34" s="14">
        <f t="shared" si="14"/>
        <v>-0.11898830491747764</v>
      </c>
      <c r="AD34" s="14">
        <f t="shared" si="15"/>
        <v>210.52629021515958</v>
      </c>
      <c r="AE34" s="14">
        <f t="shared" si="23"/>
        <v>75</v>
      </c>
      <c r="AF34" s="14">
        <f t="shared" si="16"/>
        <v>0.364251543194343</v>
      </c>
      <c r="AG34" s="14">
        <f t="shared" si="17"/>
        <v>21.183055896282543</v>
      </c>
      <c r="AH34" s="14">
        <f>DEGREES(ATAN((Main!S34/2+Main!D34/2)/Main!C34))</f>
        <v>23.020955788804368</v>
      </c>
      <c r="AI34" s="14">
        <f t="shared" si="18"/>
        <v>32</v>
      </c>
      <c r="AJ34" s="21">
        <f>Main!S34*(G34-Main!T34)/G34/25</f>
        <v>1.6750236858599965</v>
      </c>
      <c r="AK34" s="22"/>
      <c r="AL34" s="22"/>
      <c r="AM34" s="22"/>
      <c r="AN34" s="22"/>
      <c r="AO34" s="22"/>
      <c r="AP34" s="22"/>
    </row>
    <row r="35" spans="1:42" ht="15" customHeight="1" x14ac:dyDescent="0.45">
      <c r="A35" s="13">
        <v>33</v>
      </c>
      <c r="B35" s="14">
        <f>'MDSL cloud import'!C35</f>
        <v>-221.94800000000001</v>
      </c>
      <c r="C35" s="14">
        <f>'MDSL cloud import'!D35</f>
        <v>12.562290000000001</v>
      </c>
      <c r="D35" s="14">
        <f>'MDSL cloud import'!E35</f>
        <v>-23.750900000000001</v>
      </c>
      <c r="E35" s="11">
        <f t="shared" ref="E35:E66" si="28">SQRT((B35^2)+(C35^2)+(D35^2))</f>
        <v>223.56840359239965</v>
      </c>
      <c r="F35" s="11">
        <f t="shared" ref="F35:F66" si="29">SQRT((1)+((C35/B35)^2)+(D35/B35)^2)</f>
        <v>1.0073008253843228</v>
      </c>
      <c r="G35" s="11">
        <f>Main!C35</f>
        <v>65.901303456159482</v>
      </c>
      <c r="H35" s="11">
        <f>E35+G35+Main!T35</f>
        <v>299.46970704855914</v>
      </c>
      <c r="I35" s="11">
        <f t="shared" ref="I35:I66" si="30">H35/F35*SIGN(B35)</f>
        <v>-297.29917766552046</v>
      </c>
      <c r="J35" s="11">
        <f t="shared" ref="J35:J66" si="31">I35*C35/B35</f>
        <v>16.827177927243277</v>
      </c>
      <c r="K35" s="11">
        <f t="shared" ref="K35:K66" si="32">I35*D35/B35</f>
        <v>-31.814312536341891</v>
      </c>
      <c r="L35" s="11">
        <f>(H35-Main!T35)/F35*SIGN(B35)</f>
        <v>-287.37165676213527</v>
      </c>
      <c r="M35" s="11">
        <f t="shared" si="21"/>
        <v>16.265278759107559</v>
      </c>
      <c r="N35" s="11">
        <f t="shared" si="22"/>
        <v>-30.751957587325858</v>
      </c>
      <c r="O35" s="11">
        <f t="shared" ref="O35:O66" si="33">(H35)/2</f>
        <v>149.73485352427957</v>
      </c>
      <c r="P35" s="11">
        <f t="shared" ref="P35:P66" si="34">O35/F35*SIGN(B35)</f>
        <v>-148.64958883276023</v>
      </c>
      <c r="Q35" s="11">
        <f t="shared" ref="Q35:Q66" si="35">P35*C35/B35</f>
        <v>8.4135889636216383</v>
      </c>
      <c r="R35" s="11">
        <f t="shared" ref="R35:R66" si="36">P35*D35/B35</f>
        <v>-15.907156268170946</v>
      </c>
      <c r="S35" s="11">
        <f t="shared" ref="S35:S66" si="37">DEGREES(ATAN((ABS(C35))/(ABS(B35))))</f>
        <v>3.239493319287543</v>
      </c>
      <c r="T35" s="11">
        <f t="shared" si="27"/>
        <v>-3.239493319287543</v>
      </c>
      <c r="U35" s="11">
        <f t="shared" ref="U35:U66" si="38">90-DEGREES(ACOS(ABS(D35/E35)))</f>
        <v>6.0983533701058548</v>
      </c>
      <c r="V35" s="11">
        <f t="shared" si="10"/>
        <v>-6.0983533701058548</v>
      </c>
      <c r="W35" s="11"/>
      <c r="X35" s="14">
        <f t="shared" ref="X35:X66" si="39">SQRT(SUMSQ(B35,C35))</f>
        <v>222.30322947281738</v>
      </c>
      <c r="Y35" s="14">
        <f t="shared" ref="Y35:Y66" si="40">(ATAN2(B35,C35))</f>
        <v>3.0850528290718655</v>
      </c>
      <c r="Z35" s="14">
        <f t="shared" ref="Z35:Z66" si="41">(ATAN2(X35,D35))</f>
        <v>-0.10643634525843955</v>
      </c>
      <c r="AA35" s="14">
        <f>-Main!D35/2*SIN(ABS(Z35))+X35</f>
        <v>222.18105865368054</v>
      </c>
      <c r="AB35" s="14">
        <f>Main!D35/2*COS(ABS(Z35))*SIGN(Z35)+D35</f>
        <v>-24.894392147306416</v>
      </c>
      <c r="AC35" s="14">
        <f t="shared" ref="AC35:AC66" si="42">ATAN2(AA35,AB35)</f>
        <v>-0.11158013945758853</v>
      </c>
      <c r="AD35" s="14">
        <f t="shared" ref="AD35:AD66" si="43">SQRT(SUMSQ(AA35,AB35))</f>
        <v>223.57136128058553</v>
      </c>
      <c r="AE35" s="14">
        <f t="shared" si="23"/>
        <v>75</v>
      </c>
      <c r="AF35" s="14">
        <f t="shared" ref="AF35:AF66" si="44">(ASIN(AE35/AD35))</f>
        <v>0.34209704858320267</v>
      </c>
      <c r="AG35" s="14">
        <f t="shared" ref="AG35:AG66" si="45">DEGREES(AF35+ABS(AC35-Z35))</f>
        <v>19.895434765994505</v>
      </c>
      <c r="AH35" s="14">
        <f>DEGREES(ATAN((Main!S35/2+Main!D35/2)/Main!C35))</f>
        <v>21.643450472985801</v>
      </c>
      <c r="AI35" s="14">
        <f t="shared" ref="AI35:AI66" si="46">A35</f>
        <v>33</v>
      </c>
      <c r="AJ35" s="21">
        <f>Main!S35*(G35-Main!T35)/G35/25</f>
        <v>1.6965158661345006</v>
      </c>
      <c r="AK35" s="22"/>
      <c r="AL35" s="22"/>
      <c r="AM35" s="22"/>
      <c r="AN35" s="22"/>
      <c r="AO35" s="22"/>
      <c r="AP35" s="22"/>
    </row>
    <row r="36" spans="1:42" ht="15" customHeight="1" x14ac:dyDescent="0.45">
      <c r="A36" s="13">
        <v>34</v>
      </c>
      <c r="B36" s="14">
        <f>'MDSL cloud import'!C36</f>
        <v>-230.423</v>
      </c>
      <c r="C36" s="14">
        <f>'MDSL cloud import'!D36</f>
        <v>-35.1111</v>
      </c>
      <c r="D36" s="14">
        <f>'MDSL cloud import'!E36</f>
        <v>-23.680599999999998</v>
      </c>
      <c r="E36" s="11">
        <f t="shared" si="28"/>
        <v>234.28256249360516</v>
      </c>
      <c r="F36" s="11">
        <f t="shared" si="29"/>
        <v>1.0167499012407837</v>
      </c>
      <c r="G36" s="11">
        <f>Main!C36</f>
        <v>69.456101956631855</v>
      </c>
      <c r="H36" s="11">
        <f>E36+G36+Main!T36</f>
        <v>313.73866445023702</v>
      </c>
      <c r="I36" s="11">
        <f t="shared" si="30"/>
        <v>-308.57014499570465</v>
      </c>
      <c r="J36" s="11">
        <f t="shared" si="31"/>
        <v>-47.018905308752537</v>
      </c>
      <c r="K36" s="11">
        <f t="shared" si="32"/>
        <v>-31.711791685661947</v>
      </c>
      <c r="L36" s="11">
        <f>(H36-Main!T36)/F36*SIGN(B36)</f>
        <v>-298.7348846354169</v>
      </c>
      <c r="M36" s="11">
        <f t="shared" si="21"/>
        <v>-45.520240635364466</v>
      </c>
      <c r="N36" s="11">
        <f t="shared" si="22"/>
        <v>-30.70102077091893</v>
      </c>
      <c r="O36" s="11">
        <f t="shared" si="33"/>
        <v>156.86933222511851</v>
      </c>
      <c r="P36" s="11">
        <f t="shared" si="34"/>
        <v>-154.28507249785233</v>
      </c>
      <c r="Q36" s="11">
        <f t="shared" si="35"/>
        <v>-23.509452654376268</v>
      </c>
      <c r="R36" s="11">
        <f t="shared" si="36"/>
        <v>-15.855895842830973</v>
      </c>
      <c r="S36" s="11">
        <f t="shared" si="37"/>
        <v>8.6638982069119823</v>
      </c>
      <c r="T36" s="11">
        <f t="shared" ref="T36:T42" si="47">S36</f>
        <v>8.6638982069119823</v>
      </c>
      <c r="U36" s="11">
        <f t="shared" si="38"/>
        <v>5.8011975570406662</v>
      </c>
      <c r="V36" s="11">
        <f t="shared" si="10"/>
        <v>-5.8011975570406662</v>
      </c>
      <c r="W36" s="11"/>
      <c r="X36" s="14">
        <f t="shared" si="39"/>
        <v>233.08270693513495</v>
      </c>
      <c r="Y36" s="14">
        <f t="shared" si="40"/>
        <v>-2.9903791038215459</v>
      </c>
      <c r="Z36" s="14">
        <f t="shared" si="41"/>
        <v>-0.10124999792901108</v>
      </c>
      <c r="AA36" s="14">
        <f>-Main!D36/2*SIN(ABS(Z36))+X36</f>
        <v>232.96646827993951</v>
      </c>
      <c r="AB36" s="14">
        <f>Main!D36/2*COS(ABS(Z36))*SIGN(Z36)+D36</f>
        <v>-24.82471038586246</v>
      </c>
      <c r="AC36" s="14">
        <f t="shared" si="42"/>
        <v>-0.10615856112600972</v>
      </c>
      <c r="AD36" s="14">
        <f t="shared" si="43"/>
        <v>234.2853849231104</v>
      </c>
      <c r="AE36" s="14">
        <f t="shared" ref="AE36:AE67" si="48">AE35</f>
        <v>75</v>
      </c>
      <c r="AF36" s="14">
        <f t="shared" si="44"/>
        <v>0.32585868473742441</v>
      </c>
      <c r="AG36" s="14">
        <f t="shared" si="45"/>
        <v>18.951567307799735</v>
      </c>
      <c r="AH36" s="14">
        <f>DEGREES(ATAN((Main!S36/2+Main!D36/2)/Main!C36))</f>
        <v>20.631195235635133</v>
      </c>
      <c r="AI36" s="14">
        <f t="shared" si="46"/>
        <v>34</v>
      </c>
      <c r="AJ36" s="21">
        <f>Main!S36*(G36-Main!T36)/G36/25</f>
        <v>1.7120483379201452</v>
      </c>
      <c r="AK36" s="22"/>
      <c r="AL36" s="22"/>
      <c r="AM36" s="22"/>
      <c r="AN36" s="22"/>
      <c r="AO36" s="22"/>
      <c r="AP36" s="22"/>
    </row>
    <row r="37" spans="1:42" ht="15" customHeight="1" x14ac:dyDescent="0.45">
      <c r="A37" s="13">
        <v>35</v>
      </c>
      <c r="B37" s="14">
        <f>'MDSL cloud import'!C37</f>
        <v>-225.92699999999999</v>
      </c>
      <c r="C37" s="14">
        <f>'MDSL cloud import'!D37</f>
        <v>-82.936499999999995</v>
      </c>
      <c r="D37" s="14">
        <f>'MDSL cloud import'!E37</f>
        <v>-23.6357</v>
      </c>
      <c r="E37" s="11">
        <f t="shared" si="28"/>
        <v>241.82662937679132</v>
      </c>
      <c r="F37" s="11">
        <f t="shared" si="29"/>
        <v>1.0703750741469207</v>
      </c>
      <c r="G37" s="11">
        <f>Main!C37</f>
        <v>71.947650441269602</v>
      </c>
      <c r="H37" s="11">
        <f>E37+G37+Main!T37</f>
        <v>323.7742798180609</v>
      </c>
      <c r="I37" s="11">
        <f t="shared" si="30"/>
        <v>-302.48675220329295</v>
      </c>
      <c r="J37" s="11">
        <f t="shared" si="31"/>
        <v>-111.04114392750049</v>
      </c>
      <c r="K37" s="11">
        <f t="shared" si="32"/>
        <v>-31.645116028856094</v>
      </c>
      <c r="L37" s="11">
        <f>(H37-Main!T37)/F37*SIGN(B37)</f>
        <v>-293.14423270565806</v>
      </c>
      <c r="M37" s="11">
        <f t="shared" si="21"/>
        <v>-107.61155884773757</v>
      </c>
      <c r="N37" s="11">
        <f t="shared" si="22"/>
        <v>-30.66773400683018</v>
      </c>
      <c r="O37" s="11">
        <f t="shared" si="33"/>
        <v>161.88713990903045</v>
      </c>
      <c r="P37" s="11">
        <f t="shared" si="34"/>
        <v>-151.24337610164648</v>
      </c>
      <c r="Q37" s="11">
        <f t="shared" si="35"/>
        <v>-55.520571963750243</v>
      </c>
      <c r="R37" s="11">
        <f t="shared" si="36"/>
        <v>-15.822558014428047</v>
      </c>
      <c r="S37" s="11">
        <f t="shared" si="37"/>
        <v>20.157895203759942</v>
      </c>
      <c r="T37" s="11">
        <f t="shared" si="47"/>
        <v>20.157895203759942</v>
      </c>
      <c r="U37" s="11">
        <f t="shared" si="38"/>
        <v>5.6089409140746653</v>
      </c>
      <c r="V37" s="11">
        <f t="shared" si="10"/>
        <v>-5.6089409140746653</v>
      </c>
      <c r="W37" s="11"/>
      <c r="X37" s="14">
        <f t="shared" si="39"/>
        <v>240.66880221842214</v>
      </c>
      <c r="Y37" s="14">
        <f t="shared" si="40"/>
        <v>-2.789771012012209</v>
      </c>
      <c r="Z37" s="14">
        <f t="shared" si="41"/>
        <v>-9.7894486500423247E-2</v>
      </c>
      <c r="AA37" s="14">
        <f>-Main!D37/2*SIN(ABS(Z37))+X37</f>
        <v>240.55640328588916</v>
      </c>
      <c r="AB37" s="14">
        <f>Main!D37/2*COS(ABS(Z37))*SIGN(Z37)+D37</f>
        <v>-24.780193984241702</v>
      </c>
      <c r="AC37" s="14">
        <f t="shared" si="42"/>
        <v>-0.10264992362569227</v>
      </c>
      <c r="AD37" s="14">
        <f t="shared" si="43"/>
        <v>241.82936375829135</v>
      </c>
      <c r="AE37" s="14">
        <f t="shared" si="48"/>
        <v>75</v>
      </c>
      <c r="AF37" s="14">
        <f t="shared" si="44"/>
        <v>0.31533611948166318</v>
      </c>
      <c r="AG37" s="14">
        <f t="shared" si="45"/>
        <v>18.339895251350097</v>
      </c>
      <c r="AH37" s="14">
        <f>DEGREES(ATAN((Main!S37/2+Main!D37/2)/Main!C37))</f>
        <v>19.974115818221598</v>
      </c>
      <c r="AI37" s="14">
        <f t="shared" si="46"/>
        <v>35</v>
      </c>
      <c r="AJ37" s="21">
        <f>Main!S37*(G37-Main!T37)/G37/25</f>
        <v>1.7220201093804184</v>
      </c>
      <c r="AK37" s="22"/>
      <c r="AL37" s="22"/>
      <c r="AM37" s="22"/>
      <c r="AN37" s="22"/>
      <c r="AO37" s="22"/>
      <c r="AP37" s="22"/>
    </row>
    <row r="38" spans="1:42" ht="15" customHeight="1" x14ac:dyDescent="0.45">
      <c r="A38" s="13">
        <v>36</v>
      </c>
      <c r="B38" s="14">
        <f>'MDSL cloud import'!C38</f>
        <v>-209.22900000000001</v>
      </c>
      <c r="C38" s="14">
        <f>'MDSL cloud import'!D38</f>
        <v>-127.899</v>
      </c>
      <c r="D38" s="14">
        <f>'MDSL cloud import'!E38</f>
        <v>-23.610299999999999</v>
      </c>
      <c r="E38" s="11">
        <f t="shared" si="28"/>
        <v>246.35822476241788</v>
      </c>
      <c r="F38" s="11">
        <f t="shared" si="29"/>
        <v>1.1774573542024187</v>
      </c>
      <c r="G38" s="11">
        <f>Main!C38</f>
        <v>73.440195299021383</v>
      </c>
      <c r="H38" s="11">
        <f>E38+G38+Main!T38</f>
        <v>329.79842006143929</v>
      </c>
      <c r="I38" s="11">
        <f t="shared" si="30"/>
        <v>-280.09372813747194</v>
      </c>
      <c r="J38" s="11">
        <f t="shared" si="31"/>
        <v>-171.21769800101572</v>
      </c>
      <c r="K38" s="11">
        <f t="shared" si="32"/>
        <v>-31.606980626223674</v>
      </c>
      <c r="L38" s="11">
        <f>(H38-Main!T38)/F38*SIGN(B38)</f>
        <v>-271.60085154681718</v>
      </c>
      <c r="M38" s="11">
        <f t="shared" si="21"/>
        <v>-166.02611163837884</v>
      </c>
      <c r="N38" s="11">
        <f t="shared" si="22"/>
        <v>-30.64860791417928</v>
      </c>
      <c r="O38" s="11">
        <f t="shared" si="33"/>
        <v>164.89921003071964</v>
      </c>
      <c r="P38" s="11">
        <f t="shared" si="34"/>
        <v>-140.04686406873597</v>
      </c>
      <c r="Q38" s="11">
        <f t="shared" si="35"/>
        <v>-85.60884900050786</v>
      </c>
      <c r="R38" s="11">
        <f t="shared" si="36"/>
        <v>-15.803490313111837</v>
      </c>
      <c r="S38" s="11">
        <f t="shared" si="37"/>
        <v>31.43690893995597</v>
      </c>
      <c r="T38" s="11">
        <f t="shared" si="47"/>
        <v>31.43690893995597</v>
      </c>
      <c r="U38" s="11">
        <f t="shared" si="38"/>
        <v>5.4995118090659219</v>
      </c>
      <c r="V38" s="11">
        <f t="shared" si="10"/>
        <v>-5.4995118090659219</v>
      </c>
      <c r="W38" s="11"/>
      <c r="X38" s="14">
        <f t="shared" si="39"/>
        <v>245.22424154638546</v>
      </c>
      <c r="Y38" s="14">
        <f t="shared" si="40"/>
        <v>-2.5929150859379213</v>
      </c>
      <c r="Z38" s="14">
        <f t="shared" si="41"/>
        <v>-9.59845883205101E-2</v>
      </c>
      <c r="AA38" s="14">
        <f>-Main!D38/2*SIN(ABS(Z38))+X38</f>
        <v>245.11402868450034</v>
      </c>
      <c r="AB38" s="14">
        <f>Main!D38/2*COS(ABS(Z38))*SIGN(Z38)+D38</f>
        <v>-24.755006567236816</v>
      </c>
      <c r="AC38" s="14">
        <f t="shared" si="42"/>
        <v>-0.10065255363119474</v>
      </c>
      <c r="AD38" s="14">
        <f t="shared" si="43"/>
        <v>246.36090884734534</v>
      </c>
      <c r="AE38" s="14">
        <f t="shared" si="48"/>
        <v>75</v>
      </c>
      <c r="AF38" s="14">
        <f t="shared" si="44"/>
        <v>0.30934145378432237</v>
      </c>
      <c r="AG38" s="14">
        <f t="shared" si="45"/>
        <v>17.991414441498584</v>
      </c>
      <c r="AH38" s="14">
        <f>DEGREES(ATAN((Main!S38/2+Main!D38/2)/Main!C38))</f>
        <v>19.599392619279147</v>
      </c>
      <c r="AI38" s="14">
        <f t="shared" si="46"/>
        <v>36</v>
      </c>
      <c r="AJ38" s="21">
        <f>Main!S38*(G38-Main!T38)/G38/25</f>
        <v>1.7276695695243267</v>
      </c>
      <c r="AK38" s="22"/>
      <c r="AL38" s="22"/>
      <c r="AM38" s="22"/>
      <c r="AN38" s="22"/>
      <c r="AO38" s="22"/>
      <c r="AP38" s="22"/>
    </row>
    <row r="39" spans="1:42" ht="15" customHeight="1" x14ac:dyDescent="0.45">
      <c r="A39" s="13">
        <v>37</v>
      </c>
      <c r="B39" s="14">
        <f>'MDSL cloud import'!C39</f>
        <v>-182.273</v>
      </c>
      <c r="C39" s="14">
        <f>'MDSL cloud import'!D39</f>
        <v>-167.65600000000001</v>
      </c>
      <c r="D39" s="14">
        <f>'MDSL cloud import'!E39</f>
        <v>-23.597200000000001</v>
      </c>
      <c r="E39" s="11">
        <f t="shared" si="28"/>
        <v>248.77461428538084</v>
      </c>
      <c r="F39" s="11">
        <f t="shared" si="29"/>
        <v>1.3648462157608687</v>
      </c>
      <c r="G39" s="11">
        <f>Main!C39</f>
        <v>74.23489395049215</v>
      </c>
      <c r="H39" s="11">
        <f>E39+G39+Main!T39</f>
        <v>333.009508235873</v>
      </c>
      <c r="I39" s="11">
        <f t="shared" si="30"/>
        <v>-243.99049826300632</v>
      </c>
      <c r="J39" s="11">
        <f t="shared" si="31"/>
        <v>-224.42419325288216</v>
      </c>
      <c r="K39" s="11">
        <f t="shared" si="32"/>
        <v>-31.587193855435597</v>
      </c>
      <c r="L39" s="11">
        <f>(H39-Main!T39)/F39*SIGN(B39)</f>
        <v>-236.66366547809417</v>
      </c>
      <c r="M39" s="11">
        <f t="shared" si="21"/>
        <v>-217.68492041824825</v>
      </c>
      <c r="N39" s="11">
        <f t="shared" si="22"/>
        <v>-30.63865655922536</v>
      </c>
      <c r="O39" s="11">
        <f t="shared" si="33"/>
        <v>166.5047541179365</v>
      </c>
      <c r="P39" s="11">
        <f t="shared" si="34"/>
        <v>-121.99524913150316</v>
      </c>
      <c r="Q39" s="11">
        <f t="shared" si="35"/>
        <v>-112.21209662644108</v>
      </c>
      <c r="R39" s="11">
        <f t="shared" si="36"/>
        <v>-15.793596927717799</v>
      </c>
      <c r="S39" s="11">
        <f t="shared" si="37"/>
        <v>42.608069578213971</v>
      </c>
      <c r="T39" s="11">
        <f t="shared" si="47"/>
        <v>42.608069578213971</v>
      </c>
      <c r="U39" s="11">
        <f t="shared" si="38"/>
        <v>5.4429011203110207</v>
      </c>
      <c r="V39" s="11">
        <f t="shared" si="10"/>
        <v>-5.4429011203110207</v>
      </c>
      <c r="W39" s="11"/>
      <c r="X39" s="14">
        <f t="shared" si="39"/>
        <v>247.65294438992646</v>
      </c>
      <c r="Y39" s="14">
        <f t="shared" si="40"/>
        <v>-2.3979415515311278</v>
      </c>
      <c r="Z39" s="14">
        <f t="shared" si="41"/>
        <v>-9.4996545409915339E-2</v>
      </c>
      <c r="AA39" s="14">
        <f>-Main!D39/2*SIN(ABS(Z39))+X39</f>
        <v>247.54386260086227</v>
      </c>
      <c r="AB39" s="14">
        <f>Main!D39/2*COS(ABS(Z39))*SIGN(Z39)+D39</f>
        <v>-24.742014903508231</v>
      </c>
      <c r="AC39" s="14">
        <f t="shared" si="42"/>
        <v>-9.9619170640269109E-2</v>
      </c>
      <c r="AD39" s="14">
        <f t="shared" si="43"/>
        <v>248.77727229962147</v>
      </c>
      <c r="AE39" s="14">
        <f t="shared" si="48"/>
        <v>75</v>
      </c>
      <c r="AF39" s="14">
        <f t="shared" si="44"/>
        <v>0.30623871055974861</v>
      </c>
      <c r="AG39" s="14">
        <f t="shared" si="45"/>
        <v>17.811042554571952</v>
      </c>
      <c r="AH39" s="14">
        <f>DEGREES(ATAN((Main!S39/2+Main!D39/2)/Main!C39))</f>
        <v>19.405333197832174</v>
      </c>
      <c r="AI39" s="14">
        <f t="shared" si="46"/>
        <v>37</v>
      </c>
      <c r="AJ39" s="21">
        <f>Main!S39*(G39-Main!T39)/G39/25</f>
        <v>1.7305849185514004</v>
      </c>
      <c r="AK39" s="22"/>
      <c r="AL39" s="22"/>
      <c r="AM39" s="22"/>
      <c r="AN39" s="22"/>
      <c r="AO39" s="22"/>
      <c r="AP39" s="22"/>
    </row>
    <row r="40" spans="1:42" ht="15" customHeight="1" x14ac:dyDescent="0.45">
      <c r="A40" s="13">
        <v>38</v>
      </c>
      <c r="B40" s="14">
        <f>'MDSL cloud import'!C40</f>
        <v>-147.47300000000001</v>
      </c>
      <c r="C40" s="14">
        <f>'MDSL cloud import'!D40</f>
        <v>-200.839</v>
      </c>
      <c r="D40" s="14">
        <f>'MDSL cloud import'!E40</f>
        <v>-23.589200000000002</v>
      </c>
      <c r="E40" s="11">
        <f t="shared" si="28"/>
        <v>250.28192105431827</v>
      </c>
      <c r="F40" s="11">
        <f t="shared" si="29"/>
        <v>1.6971372458302079</v>
      </c>
      <c r="G40" s="11">
        <f>Main!C40</f>
        <v>74.730216836283262</v>
      </c>
      <c r="H40" s="11">
        <f>E40+G40+Main!T40</f>
        <v>335.01213789060154</v>
      </c>
      <c r="I40" s="11">
        <f t="shared" si="30"/>
        <v>-197.3983770102929</v>
      </c>
      <c r="J40" s="11">
        <f t="shared" si="31"/>
        <v>-268.83085473524113</v>
      </c>
      <c r="K40" s="11">
        <f t="shared" si="32"/>
        <v>-31.575066588264981</v>
      </c>
      <c r="L40" s="11">
        <f>(H40-Main!T40)/F40*SIGN(B40)</f>
        <v>-191.50610163623605</v>
      </c>
      <c r="M40" s="11">
        <f t="shared" si="21"/>
        <v>-260.80634384951827</v>
      </c>
      <c r="N40" s="11">
        <f t="shared" si="22"/>
        <v>-30.632561436449382</v>
      </c>
      <c r="O40" s="11">
        <f t="shared" si="33"/>
        <v>167.50606894530077</v>
      </c>
      <c r="P40" s="11">
        <f t="shared" si="34"/>
        <v>-98.699188505146452</v>
      </c>
      <c r="Q40" s="11">
        <f t="shared" si="35"/>
        <v>-134.41542736762057</v>
      </c>
      <c r="R40" s="11">
        <f t="shared" si="36"/>
        <v>-15.787533294132491</v>
      </c>
      <c r="S40" s="11">
        <f t="shared" si="37"/>
        <v>53.710732447177577</v>
      </c>
      <c r="T40" s="11">
        <f t="shared" si="47"/>
        <v>53.710732447177577</v>
      </c>
      <c r="U40" s="11">
        <f t="shared" si="38"/>
        <v>5.4081839422492806</v>
      </c>
      <c r="V40" s="11">
        <f t="shared" si="10"/>
        <v>-5.4081839422492806</v>
      </c>
      <c r="W40" s="11"/>
      <c r="X40" s="14">
        <f t="shared" si="39"/>
        <v>249.16779416690272</v>
      </c>
      <c r="Y40" s="14">
        <f t="shared" si="40"/>
        <v>-2.2041635287287931</v>
      </c>
      <c r="Z40" s="14">
        <f t="shared" si="41"/>
        <v>-9.439061634573695E-2</v>
      </c>
      <c r="AA40" s="14">
        <f>-Main!D40/2*SIN(ABS(Z40))+X40</f>
        <v>249.05940607444393</v>
      </c>
      <c r="AB40" s="14">
        <f>Main!D40/2*COS(ABS(Z40))*SIGN(Z40)+D40</f>
        <v>-24.734080789171145</v>
      </c>
      <c r="AC40" s="14">
        <f t="shared" si="42"/>
        <v>-9.8985402506031564E-2</v>
      </c>
      <c r="AD40" s="14">
        <f t="shared" si="43"/>
        <v>250.28456306100864</v>
      </c>
      <c r="AE40" s="14">
        <f t="shared" si="48"/>
        <v>75</v>
      </c>
      <c r="AF40" s="14">
        <f t="shared" si="44"/>
        <v>0.30433511732797985</v>
      </c>
      <c r="AG40" s="14">
        <f t="shared" si="45"/>
        <v>17.700379635261978</v>
      </c>
      <c r="AH40" s="14">
        <f>DEGREES(ATAN((Main!S40/2+Main!D40/2)/Main!C40))</f>
        <v>19.286237626307418</v>
      </c>
      <c r="AI40" s="14">
        <f t="shared" si="46"/>
        <v>38</v>
      </c>
      <c r="AJ40" s="21">
        <f>Main!S40*(G40-Main!T40)/G40/25</f>
        <v>1.7323706413991089</v>
      </c>
      <c r="AK40" s="22"/>
      <c r="AL40" s="22"/>
      <c r="AM40" s="22"/>
      <c r="AN40" s="22"/>
      <c r="AO40" s="22"/>
      <c r="AP40" s="22"/>
    </row>
    <row r="41" spans="1:42" ht="15" customHeight="1" x14ac:dyDescent="0.45">
      <c r="A41" s="13">
        <v>39</v>
      </c>
      <c r="B41" s="14">
        <f>'MDSL cloud import'!C41</f>
        <v>-107.125</v>
      </c>
      <c r="C41" s="14">
        <f>'MDSL cloud import'!D41</f>
        <v>-226.898</v>
      </c>
      <c r="D41" s="14">
        <f>'MDSL cloud import'!E41</f>
        <v>-23.580100000000002</v>
      </c>
      <c r="E41" s="11">
        <f t="shared" si="28"/>
        <v>252.02081093633913</v>
      </c>
      <c r="F41" s="11">
        <f t="shared" si="29"/>
        <v>2.3525863331280199</v>
      </c>
      <c r="G41" s="11">
        <f>Main!C41</f>
        <v>75.301270838583804</v>
      </c>
      <c r="H41" s="11">
        <f>E41+G41+Main!T41</f>
        <v>337.32208177492294</v>
      </c>
      <c r="I41" s="11">
        <f t="shared" si="30"/>
        <v>-143.38350819475198</v>
      </c>
      <c r="J41" s="11">
        <f t="shared" si="31"/>
        <v>-303.69597425785611</v>
      </c>
      <c r="K41" s="11">
        <f t="shared" si="32"/>
        <v>-31.561236514194366</v>
      </c>
      <c r="L41" s="11">
        <f>(H41-Main!T41)/F41*SIGN(B41)</f>
        <v>-139.13286716229138</v>
      </c>
      <c r="M41" s="11">
        <f t="shared" si="21"/>
        <v>-294.69282887644891</v>
      </c>
      <c r="N41" s="11">
        <f t="shared" si="22"/>
        <v>-30.625595528341165</v>
      </c>
      <c r="O41" s="11">
        <f t="shared" si="33"/>
        <v>168.66104088746147</v>
      </c>
      <c r="P41" s="11">
        <f t="shared" si="34"/>
        <v>-71.691754097375991</v>
      </c>
      <c r="Q41" s="11">
        <f t="shared" si="35"/>
        <v>-151.84798712892805</v>
      </c>
      <c r="R41" s="11">
        <f t="shared" si="36"/>
        <v>-15.780618257097183</v>
      </c>
      <c r="S41" s="11">
        <f t="shared" si="37"/>
        <v>64.726671254963591</v>
      </c>
      <c r="T41" s="11">
        <f t="shared" si="47"/>
        <v>64.726671254963591</v>
      </c>
      <c r="U41" s="11">
        <f t="shared" si="38"/>
        <v>5.3686806000487906</v>
      </c>
      <c r="V41" s="11">
        <f t="shared" si="10"/>
        <v>-5.3686806000487906</v>
      </c>
      <c r="W41" s="11"/>
      <c r="X41" s="14">
        <f t="shared" si="39"/>
        <v>250.91526065387094</v>
      </c>
      <c r="Y41" s="14">
        <f t="shared" si="40"/>
        <v>-2.0118991263347086</v>
      </c>
      <c r="Z41" s="14">
        <f t="shared" si="41"/>
        <v>-9.370115295879608E-2</v>
      </c>
      <c r="AA41" s="14">
        <f>-Main!D41/2*SIN(ABS(Z41))+X41</f>
        <v>250.80766194049784</v>
      </c>
      <c r="AB41" s="14">
        <f>Main!D41/2*COS(ABS(Z41))*SIGN(Z41)+D41</f>
        <v>-24.725055246671438</v>
      </c>
      <c r="AC41" s="14">
        <f t="shared" si="42"/>
        <v>-9.8264236515477638E-2</v>
      </c>
      <c r="AD41" s="14">
        <f t="shared" si="43"/>
        <v>252.02343471393687</v>
      </c>
      <c r="AE41" s="14">
        <f t="shared" si="48"/>
        <v>75</v>
      </c>
      <c r="AF41" s="14">
        <f t="shared" si="44"/>
        <v>0.30216872599023586</v>
      </c>
      <c r="AG41" s="14">
        <f t="shared" si="45"/>
        <v>17.574438129448939</v>
      </c>
      <c r="AH41" s="14">
        <f>DEGREES(ATAN((Main!S41/2+Main!D41/2)/Main!C41))</f>
        <v>19.150667050506762</v>
      </c>
      <c r="AI41" s="14">
        <f t="shared" si="46"/>
        <v>39</v>
      </c>
      <c r="AJ41" s="21">
        <f>Main!S41*(G41-Main!T41)/G41/25</f>
        <v>1.7344002328609818</v>
      </c>
      <c r="AK41" s="22"/>
      <c r="AL41" s="22"/>
      <c r="AM41" s="22"/>
      <c r="AN41" s="22"/>
      <c r="AO41" s="22"/>
      <c r="AP41" s="22"/>
    </row>
    <row r="42" spans="1:42" ht="15" customHeight="1" x14ac:dyDescent="0.45">
      <c r="A42" s="13">
        <v>40</v>
      </c>
      <c r="B42" s="14">
        <f>'MDSL cloud import'!C42</f>
        <v>-63.1068</v>
      </c>
      <c r="C42" s="14">
        <f>'MDSL cloud import'!D42</f>
        <v>-245.785</v>
      </c>
      <c r="D42" s="14">
        <f>'MDSL cloud import'!E42</f>
        <v>-23.5656</v>
      </c>
      <c r="E42" s="11">
        <f t="shared" si="28"/>
        <v>254.84911601690911</v>
      </c>
      <c r="F42" s="11">
        <f t="shared" si="29"/>
        <v>4.0383780514446794</v>
      </c>
      <c r="G42" s="11">
        <f>Main!C42</f>
        <v>76.22926480315779</v>
      </c>
      <c r="H42" s="11">
        <f>E42+G42+Main!T42</f>
        <v>341.07838082006691</v>
      </c>
      <c r="I42" s="11">
        <f t="shared" si="30"/>
        <v>-84.459249846123342</v>
      </c>
      <c r="J42" s="11">
        <f t="shared" si="31"/>
        <v>-328.94738322065808</v>
      </c>
      <c r="K42" s="11">
        <f t="shared" si="32"/>
        <v>-31.539119368654475</v>
      </c>
      <c r="L42" s="11">
        <f>(H42-Main!T42)/F42*SIGN(B42)</f>
        <v>-81.983008178649285</v>
      </c>
      <c r="M42" s="11">
        <f t="shared" si="21"/>
        <v>-319.30304919896611</v>
      </c>
      <c r="N42" s="11">
        <f t="shared" si="22"/>
        <v>-30.614431052355336</v>
      </c>
      <c r="O42" s="11">
        <f t="shared" si="33"/>
        <v>170.53919041003346</v>
      </c>
      <c r="P42" s="11">
        <f t="shared" si="34"/>
        <v>-42.229624923061671</v>
      </c>
      <c r="Q42" s="11">
        <f t="shared" si="35"/>
        <v>-164.47369161032904</v>
      </c>
      <c r="R42" s="11">
        <f t="shared" si="36"/>
        <v>-15.769559684327238</v>
      </c>
      <c r="S42" s="11">
        <f t="shared" si="37"/>
        <v>75.600013566373519</v>
      </c>
      <c r="T42" s="11">
        <f t="shared" si="47"/>
        <v>75.600013566373519</v>
      </c>
      <c r="U42" s="11">
        <f t="shared" si="38"/>
        <v>5.3056531718539901</v>
      </c>
      <c r="V42" s="11">
        <f t="shared" si="10"/>
        <v>-5.3056531718539901</v>
      </c>
      <c r="W42" s="11"/>
      <c r="X42" s="14">
        <f t="shared" si="39"/>
        <v>253.75723522934277</v>
      </c>
      <c r="Y42" s="14">
        <f t="shared" si="40"/>
        <v>-1.8221235023041946</v>
      </c>
      <c r="Z42" s="14">
        <f t="shared" si="41"/>
        <v>-9.2601116817732698E-2</v>
      </c>
      <c r="AA42" s="14">
        <f>-Main!D42/2*SIN(ABS(Z42))+X42</f>
        <v>253.65089607296838</v>
      </c>
      <c r="AB42" s="14">
        <f>Main!D42/2*COS(ABS(Z42))*SIGN(Z42)+D42</f>
        <v>-24.710672916377632</v>
      </c>
      <c r="AC42" s="14">
        <f t="shared" si="42"/>
        <v>-9.7113560150768399E-2</v>
      </c>
      <c r="AD42" s="14">
        <f t="shared" si="43"/>
        <v>254.85171067622835</v>
      </c>
      <c r="AE42" s="14">
        <f t="shared" si="48"/>
        <v>75</v>
      </c>
      <c r="AF42" s="14">
        <f t="shared" si="44"/>
        <v>0.2987112627352036</v>
      </c>
      <c r="AG42" s="14">
        <f t="shared" si="45"/>
        <v>17.37343860602552</v>
      </c>
      <c r="AH42" s="14">
        <f>DEGREES(ATAN((Main!S42/2+Main!D42/2)/Main!C42))</f>
        <v>18.93422929203286</v>
      </c>
      <c r="AI42" s="14">
        <f t="shared" si="46"/>
        <v>40</v>
      </c>
      <c r="AJ42" s="21">
        <f>Main!S42*(G42-Main!T42)/G42/25</f>
        <v>1.7376335708911168</v>
      </c>
      <c r="AK42" s="22"/>
      <c r="AL42" s="22"/>
      <c r="AM42" s="22"/>
      <c r="AN42" s="22"/>
      <c r="AO42" s="22"/>
      <c r="AP42" s="22"/>
    </row>
    <row r="43" spans="1:42" ht="15" customHeight="1" x14ac:dyDescent="0.45">
      <c r="A43" s="13">
        <v>41</v>
      </c>
      <c r="B43" s="32">
        <f t="shared" ref="B43:C62" si="49">B23</f>
        <v>277.00200000000001</v>
      </c>
      <c r="C43" s="32">
        <f t="shared" si="49"/>
        <v>70.37124</v>
      </c>
      <c r="D43" s="32">
        <f t="shared" ref="D43:D62" si="50">-D23</f>
        <v>23.4255</v>
      </c>
      <c r="E43" s="11">
        <f t="shared" si="28"/>
        <v>286.75943484633177</v>
      </c>
      <c r="F43" s="11">
        <f t="shared" si="29"/>
        <v>1.0352251422239975</v>
      </c>
      <c r="G43" s="11">
        <f>Main!C43</f>
        <v>86.638243895697059</v>
      </c>
      <c r="H43" s="11">
        <f>E43+G43+Main!T43</f>
        <v>383.3976787420288</v>
      </c>
      <c r="I43" s="11">
        <f t="shared" si="30"/>
        <v>370.35197765615209</v>
      </c>
      <c r="J43" s="11">
        <f t="shared" si="31"/>
        <v>94.08642502261975</v>
      </c>
      <c r="K43" s="11">
        <f t="shared" si="32"/>
        <v>31.319919179587838</v>
      </c>
      <c r="L43" s="11">
        <f>(H43-Main!T43)/F43*SIGN(B43)</f>
        <v>360.69224317702538</v>
      </c>
      <c r="M43" s="11">
        <f t="shared" si="21"/>
        <v>91.632408469068139</v>
      </c>
      <c r="N43" s="11">
        <f t="shared" si="22"/>
        <v>30.503014933261881</v>
      </c>
      <c r="O43" s="11">
        <f t="shared" si="33"/>
        <v>191.6988393710144</v>
      </c>
      <c r="P43" s="11">
        <f t="shared" si="34"/>
        <v>185.17598882807604</v>
      </c>
      <c r="Q43" s="11">
        <f t="shared" si="35"/>
        <v>47.043212511309875</v>
      </c>
      <c r="R43" s="11">
        <f t="shared" si="36"/>
        <v>15.659959589793919</v>
      </c>
      <c r="S43" s="11">
        <f t="shared" si="37"/>
        <v>14.254215271792646</v>
      </c>
      <c r="T43" s="11">
        <f t="shared" ref="T43:T49" si="51">S43+180</f>
        <v>194.25421527179265</v>
      </c>
      <c r="U43" s="11">
        <f t="shared" si="38"/>
        <v>4.6857380217625604</v>
      </c>
      <c r="V43" s="11">
        <f t="shared" ref="V43:V82" si="52">U43</f>
        <v>4.6857380217625604</v>
      </c>
      <c r="W43" s="11"/>
      <c r="X43" s="14">
        <f t="shared" si="39"/>
        <v>285.80101368458719</v>
      </c>
      <c r="Y43" s="14">
        <f t="shared" si="40"/>
        <v>0.24878298878084007</v>
      </c>
      <c r="Z43" s="14">
        <f t="shared" si="41"/>
        <v>8.1781556365642438E-2</v>
      </c>
      <c r="AA43" s="14">
        <f>-Main!D43/2*SIN(ABS(Z43))+X43</f>
        <v>285.70706969625968</v>
      </c>
      <c r="AB43" s="14">
        <f>Main!D43/2*COS(ABS(Z43))*SIGN(Z43)+D43</f>
        <v>24.571656414743259</v>
      </c>
      <c r="AC43" s="14">
        <f t="shared" si="42"/>
        <v>8.5791864991137057E-2</v>
      </c>
      <c r="AD43" s="14">
        <f t="shared" si="43"/>
        <v>286.76174077688188</v>
      </c>
      <c r="AE43" s="14">
        <f t="shared" si="48"/>
        <v>75</v>
      </c>
      <c r="AF43" s="14">
        <f t="shared" si="44"/>
        <v>0.26461860311545743</v>
      </c>
      <c r="AG43" s="14">
        <f t="shared" si="45"/>
        <v>15.39130289794884</v>
      </c>
      <c r="AH43" s="14">
        <f>DEGREES(ATAN((Main!S43/2+Main!D43/2)/Main!C43))</f>
        <v>16.795376727702681</v>
      </c>
      <c r="AI43" s="14">
        <f t="shared" si="46"/>
        <v>41</v>
      </c>
      <c r="AJ43" s="21">
        <f>Main!S43*(G43-Main!T43)/G43/25</f>
        <v>1.7691550624678198</v>
      </c>
      <c r="AK43" s="22"/>
      <c r="AL43" s="22"/>
      <c r="AM43" s="22"/>
      <c r="AN43" s="22"/>
      <c r="AO43" s="22"/>
      <c r="AP43" s="22"/>
    </row>
    <row r="44" spans="1:42" ht="15" customHeight="1" x14ac:dyDescent="0.45">
      <c r="A44" s="13">
        <v>42</v>
      </c>
      <c r="B44" s="32">
        <f t="shared" si="49"/>
        <v>242.88310000000001</v>
      </c>
      <c r="C44" s="32">
        <f t="shared" si="49"/>
        <v>107.2608</v>
      </c>
      <c r="D44" s="32">
        <f t="shared" si="50"/>
        <v>23.509599999999999</v>
      </c>
      <c r="E44" s="11">
        <f t="shared" si="28"/>
        <v>266.55164748020223</v>
      </c>
      <c r="F44" s="11">
        <f t="shared" si="29"/>
        <v>1.0974483094138794</v>
      </c>
      <c r="G44" s="11">
        <f>Main!C44</f>
        <v>80.058832079886542</v>
      </c>
      <c r="H44" s="11">
        <f>E44+G44+Main!T44</f>
        <v>356.61047956008878</v>
      </c>
      <c r="I44" s="11">
        <f t="shared" si="30"/>
        <v>324.94512634544566</v>
      </c>
      <c r="J44" s="11">
        <f t="shared" si="31"/>
        <v>143.50061493744758</v>
      </c>
      <c r="K44" s="11">
        <f t="shared" si="32"/>
        <v>31.452702729547212</v>
      </c>
      <c r="L44" s="11">
        <f>(H44-Main!T44)/F44*SIGN(B44)</f>
        <v>315.83307986979821</v>
      </c>
      <c r="M44" s="11">
        <f t="shared" si="21"/>
        <v>139.47659929117526</v>
      </c>
      <c r="N44" s="11">
        <f t="shared" si="22"/>
        <v>30.570712307719258</v>
      </c>
      <c r="O44" s="11">
        <f t="shared" si="33"/>
        <v>178.30523978004439</v>
      </c>
      <c r="P44" s="11">
        <f t="shared" si="34"/>
        <v>162.47256317272283</v>
      </c>
      <c r="Q44" s="11">
        <f t="shared" si="35"/>
        <v>71.75030746872379</v>
      </c>
      <c r="R44" s="11">
        <f t="shared" si="36"/>
        <v>15.726351364773606</v>
      </c>
      <c r="S44" s="11">
        <f t="shared" si="37"/>
        <v>23.826968362455574</v>
      </c>
      <c r="T44" s="11">
        <f t="shared" si="51"/>
        <v>203.82696836245557</v>
      </c>
      <c r="U44" s="11">
        <f t="shared" si="38"/>
        <v>5.0600077517283495</v>
      </c>
      <c r="V44" s="11">
        <f t="shared" si="52"/>
        <v>5.0600077517283495</v>
      </c>
      <c r="W44" s="11"/>
      <c r="X44" s="14">
        <f t="shared" si="39"/>
        <v>265.51286123698418</v>
      </c>
      <c r="Y44" s="14">
        <f t="shared" si="40"/>
        <v>0.41585904869337142</v>
      </c>
      <c r="Z44" s="14">
        <f t="shared" si="41"/>
        <v>8.8313795444095455E-2</v>
      </c>
      <c r="AA44" s="14">
        <f>-Main!D44/2*SIN(ABS(Z44))+X44</f>
        <v>265.41143233847396</v>
      </c>
      <c r="AB44" s="14">
        <f>Main!D44/2*COS(ABS(Z44))*SIGN(Z44)+D44</f>
        <v>24.655118301271088</v>
      </c>
      <c r="AC44" s="14">
        <f t="shared" si="42"/>
        <v>9.2628129554184493E-2</v>
      </c>
      <c r="AD44" s="14">
        <f t="shared" si="43"/>
        <v>266.55412822616353</v>
      </c>
      <c r="AE44" s="14">
        <f t="shared" si="48"/>
        <v>75</v>
      </c>
      <c r="AF44" s="14">
        <f t="shared" si="44"/>
        <v>0.2852201802263104</v>
      </c>
      <c r="AG44" s="14">
        <f t="shared" si="45"/>
        <v>16.589105694845713</v>
      </c>
      <c r="AH44" s="14">
        <f>DEGREES(ATAN((Main!S44/2+Main!D44/2)/Main!C44))</f>
        <v>18.088839186093548</v>
      </c>
      <c r="AI44" s="14">
        <f t="shared" si="46"/>
        <v>42</v>
      </c>
      <c r="AJ44" s="21">
        <f>Main!S44*(G44-Main!T44)/G44/25</f>
        <v>1.7501837151453441</v>
      </c>
      <c r="AK44" s="22"/>
      <c r="AL44" s="22"/>
      <c r="AM44" s="22"/>
      <c r="AN44" s="22"/>
      <c r="AO44" s="22"/>
      <c r="AP44" s="22"/>
    </row>
    <row r="45" spans="1:42" ht="15" customHeight="1" x14ac:dyDescent="0.45">
      <c r="A45" s="13">
        <v>43</v>
      </c>
      <c r="B45" s="32">
        <f t="shared" si="49"/>
        <v>201.33260000000001</v>
      </c>
      <c r="C45" s="32">
        <f t="shared" si="49"/>
        <v>136.87</v>
      </c>
      <c r="D45" s="32">
        <f t="shared" si="50"/>
        <v>23.62</v>
      </c>
      <c r="E45" s="11">
        <f t="shared" si="28"/>
        <v>244.59377981207945</v>
      </c>
      <c r="F45" s="11">
        <f t="shared" si="29"/>
        <v>1.214874192316989</v>
      </c>
      <c r="G45" s="11">
        <f>Main!C45</f>
        <v>72.859398120776603</v>
      </c>
      <c r="H45" s="11">
        <f>E45+G45+Main!T45</f>
        <v>327.45317793285608</v>
      </c>
      <c r="I45" s="11">
        <f t="shared" si="30"/>
        <v>269.53669771216602</v>
      </c>
      <c r="J45" s="11">
        <f t="shared" si="31"/>
        <v>183.23653405292617</v>
      </c>
      <c r="K45" s="11">
        <f t="shared" si="32"/>
        <v>31.621589349967969</v>
      </c>
      <c r="L45" s="11">
        <f>(H45-Main!T45)/F45*SIGN(B45)</f>
        <v>261.30539272335216</v>
      </c>
      <c r="M45" s="11">
        <f t="shared" si="21"/>
        <v>177.64072535717119</v>
      </c>
      <c r="N45" s="11">
        <f t="shared" si="22"/>
        <v>30.655906575117879</v>
      </c>
      <c r="O45" s="11">
        <f t="shared" si="33"/>
        <v>163.72658896642804</v>
      </c>
      <c r="P45" s="11">
        <f t="shared" si="34"/>
        <v>134.76834885608301</v>
      </c>
      <c r="Q45" s="11">
        <f t="shared" si="35"/>
        <v>91.618267026463087</v>
      </c>
      <c r="R45" s="11">
        <f t="shared" si="36"/>
        <v>15.810794674983985</v>
      </c>
      <c r="S45" s="11">
        <f t="shared" si="37"/>
        <v>34.208663259544267</v>
      </c>
      <c r="T45" s="11">
        <f t="shared" si="51"/>
        <v>214.20866325954427</v>
      </c>
      <c r="U45" s="11">
        <f t="shared" si="38"/>
        <v>5.5415905561850707</v>
      </c>
      <c r="V45" s="11">
        <f t="shared" si="52"/>
        <v>5.5415905561850707</v>
      </c>
      <c r="W45" s="11"/>
      <c r="X45" s="14">
        <f t="shared" si="39"/>
        <v>243.45063713771628</v>
      </c>
      <c r="Y45" s="14">
        <f t="shared" si="40"/>
        <v>0.59705380658506302</v>
      </c>
      <c r="Z45" s="14">
        <f t="shared" si="41"/>
        <v>9.6719001002853328E-2</v>
      </c>
      <c r="AA45" s="14">
        <f>-Main!D45/2*SIN(ABS(Z45))+X45</f>
        <v>243.33958361860851</v>
      </c>
      <c r="AB45" s="14">
        <f>Main!D45/2*COS(ABS(Z45))*SIGN(Z45)+D45</f>
        <v>24.764625316814975</v>
      </c>
      <c r="AC45" s="14">
        <f t="shared" si="42"/>
        <v>0.10142063947923938</v>
      </c>
      <c r="AD45" s="14">
        <f t="shared" si="43"/>
        <v>244.59648325918343</v>
      </c>
      <c r="AE45" s="14">
        <f t="shared" si="48"/>
        <v>75</v>
      </c>
      <c r="AF45" s="14">
        <f t="shared" si="44"/>
        <v>0.31164778924217024</v>
      </c>
      <c r="AG45" s="14">
        <f t="shared" si="45"/>
        <v>18.125487059652173</v>
      </c>
      <c r="AH45" s="14">
        <f>DEGREES(ATAN((Main!S45/2+Main!D45/2)/Main!C45))</f>
        <v>19.743593260699637</v>
      </c>
      <c r="AI45" s="14">
        <f t="shared" si="46"/>
        <v>43</v>
      </c>
      <c r="AJ45" s="21">
        <f>Main!S45*(G45-Main!T45)/G45/25</f>
        <v>1.7254986931562808</v>
      </c>
      <c r="AK45" s="22"/>
      <c r="AL45" s="22"/>
      <c r="AM45" s="22"/>
      <c r="AN45" s="22"/>
      <c r="AO45" s="22"/>
      <c r="AP45" s="22"/>
    </row>
    <row r="46" spans="1:42" ht="15" customHeight="1" x14ac:dyDescent="0.45">
      <c r="A46" s="13">
        <v>44</v>
      </c>
      <c r="B46" s="32">
        <f t="shared" si="49"/>
        <v>155.0181</v>
      </c>
      <c r="C46" s="32">
        <f t="shared" si="49"/>
        <v>158.44730000000001</v>
      </c>
      <c r="D46" s="32">
        <f t="shared" si="50"/>
        <v>23.755299999999998</v>
      </c>
      <c r="E46" s="11">
        <f t="shared" si="28"/>
        <v>222.93602778149162</v>
      </c>
      <c r="F46" s="11">
        <f t="shared" si="29"/>
        <v>1.4381290170727909</v>
      </c>
      <c r="G46" s="11">
        <f>Main!C46</f>
        <v>65.690836749438887</v>
      </c>
      <c r="H46" s="11">
        <f>E46+G46+Main!T46</f>
        <v>298.6268645309305</v>
      </c>
      <c r="I46" s="11">
        <f t="shared" si="30"/>
        <v>207.64956480661533</v>
      </c>
      <c r="J46" s="11">
        <f t="shared" si="31"/>
        <v>212.24304058547503</v>
      </c>
      <c r="K46" s="11">
        <f t="shared" si="32"/>
        <v>31.820656470764305</v>
      </c>
      <c r="L46" s="11">
        <f>(H46-Main!T46)/F46*SIGN(B46)</f>
        <v>200.69608575064419</v>
      </c>
      <c r="M46" s="11">
        <f t="shared" si="21"/>
        <v>205.13574161828873</v>
      </c>
      <c r="N46" s="11">
        <f t="shared" si="22"/>
        <v>30.755090701229584</v>
      </c>
      <c r="O46" s="11">
        <f t="shared" si="33"/>
        <v>149.31343226546525</v>
      </c>
      <c r="P46" s="11">
        <f t="shared" si="34"/>
        <v>103.82478240330767</v>
      </c>
      <c r="Q46" s="11">
        <f t="shared" si="35"/>
        <v>106.12152029273751</v>
      </c>
      <c r="R46" s="11">
        <f t="shared" si="36"/>
        <v>15.910328235382153</v>
      </c>
      <c r="S46" s="11">
        <f t="shared" si="37"/>
        <v>45.626770449794734</v>
      </c>
      <c r="T46" s="11">
        <f t="shared" si="51"/>
        <v>225.62677044979472</v>
      </c>
      <c r="U46" s="11">
        <f t="shared" si="38"/>
        <v>6.1168550351912359</v>
      </c>
      <c r="V46" s="11">
        <f t="shared" si="52"/>
        <v>6.1168550351912359</v>
      </c>
      <c r="W46" s="11"/>
      <c r="X46" s="14">
        <f t="shared" si="39"/>
        <v>221.66677289323272</v>
      </c>
      <c r="Y46" s="14">
        <f t="shared" si="40"/>
        <v>0.79633737140057215</v>
      </c>
      <c r="Z46" s="14">
        <f t="shared" si="41"/>
        <v>0.1067592602312806</v>
      </c>
      <c r="AA46" s="14">
        <f>-Main!D46/2*SIN(ABS(Z46))+X46</f>
        <v>221.54423282973622</v>
      </c>
      <c r="AB46" s="14">
        <f>Main!D46/2*COS(ABS(Z46))*SIGN(Z46)+D46</f>
        <v>24.89875263690206</v>
      </c>
      <c r="AC46" s="14">
        <f t="shared" si="42"/>
        <v>0.11191764495417561</v>
      </c>
      <c r="AD46" s="14">
        <f t="shared" si="43"/>
        <v>222.93899385928432</v>
      </c>
      <c r="AE46" s="14">
        <f t="shared" si="48"/>
        <v>75</v>
      </c>
      <c r="AF46" s="14">
        <f t="shared" si="44"/>
        <v>0.34310730423426256</v>
      </c>
      <c r="AG46" s="14">
        <f t="shared" si="45"/>
        <v>19.95415412646101</v>
      </c>
      <c r="AH46" s="14">
        <f>DEGREES(ATAN((Main!S46/2+Main!D46/2)/Main!C46))</f>
        <v>21.706355528031878</v>
      </c>
      <c r="AI46" s="14">
        <f t="shared" si="46"/>
        <v>44</v>
      </c>
      <c r="AJ46" s="21">
        <f>Main!S46*(G46-Main!T46)/G46/25</f>
        <v>1.6955435340809411</v>
      </c>
      <c r="AK46" s="22"/>
      <c r="AL46" s="22"/>
      <c r="AM46" s="22"/>
      <c r="AN46" s="22"/>
      <c r="AO46" s="22"/>
      <c r="AP46" s="22"/>
    </row>
    <row r="47" spans="1:42" ht="15" customHeight="1" x14ac:dyDescent="0.45">
      <c r="A47" s="13">
        <v>45</v>
      </c>
      <c r="B47" s="32">
        <f t="shared" si="49"/>
        <v>106.2709</v>
      </c>
      <c r="C47" s="32">
        <f t="shared" si="49"/>
        <v>171.95910000000001</v>
      </c>
      <c r="D47" s="32">
        <f t="shared" si="50"/>
        <v>23.9071</v>
      </c>
      <c r="E47" s="11">
        <f t="shared" si="28"/>
        <v>203.55585398123534</v>
      </c>
      <c r="F47" s="11">
        <f t="shared" si="29"/>
        <v>1.9154430232663442</v>
      </c>
      <c r="G47" s="11">
        <f>Main!C47</f>
        <v>59.199305669602019</v>
      </c>
      <c r="H47" s="11">
        <f>E47+G47+Main!T47</f>
        <v>272.75515965083736</v>
      </c>
      <c r="I47" s="11">
        <f t="shared" si="30"/>
        <v>142.39794989344901</v>
      </c>
      <c r="J47" s="11">
        <f t="shared" si="31"/>
        <v>230.41701261137894</v>
      </c>
      <c r="K47" s="11">
        <f t="shared" si="32"/>
        <v>32.034376559318446</v>
      </c>
      <c r="L47" s="11">
        <f>(H47-Main!T47)/F47*SIGN(B47)</f>
        <v>137.17722556047076</v>
      </c>
      <c r="M47" s="11">
        <f t="shared" si="21"/>
        <v>221.96925261643167</v>
      </c>
      <c r="N47" s="11">
        <f t="shared" si="22"/>
        <v>30.859902844492055</v>
      </c>
      <c r="O47" s="11">
        <f t="shared" si="33"/>
        <v>136.37757982541868</v>
      </c>
      <c r="P47" s="11">
        <f t="shared" si="34"/>
        <v>71.198974946724505</v>
      </c>
      <c r="Q47" s="11">
        <f t="shared" si="35"/>
        <v>115.20850630568947</v>
      </c>
      <c r="R47" s="11">
        <f t="shared" si="36"/>
        <v>16.017188279659223</v>
      </c>
      <c r="S47" s="11">
        <f t="shared" si="37"/>
        <v>58.283892287086502</v>
      </c>
      <c r="T47" s="11">
        <f t="shared" si="51"/>
        <v>238.2838922870865</v>
      </c>
      <c r="U47" s="11">
        <f t="shared" si="38"/>
        <v>6.7448059162242942</v>
      </c>
      <c r="V47" s="11">
        <f t="shared" si="52"/>
        <v>6.7448059162242942</v>
      </c>
      <c r="W47" s="11"/>
      <c r="X47" s="14">
        <f t="shared" si="39"/>
        <v>202.14706591889976</v>
      </c>
      <c r="Y47" s="14">
        <f t="shared" si="40"/>
        <v>1.0172458212873876</v>
      </c>
      <c r="Z47" s="14">
        <f t="shared" si="41"/>
        <v>0.11771907064610672</v>
      </c>
      <c r="AA47" s="14">
        <f>-Main!D47/2*SIN(ABS(Z47))+X47</f>
        <v>202.01200144169471</v>
      </c>
      <c r="AB47" s="14">
        <f>Main!D47/2*COS(ABS(Z47))*SIGN(Z47)+D47</f>
        <v>25.049140974307548</v>
      </c>
      <c r="AC47" s="14">
        <f t="shared" si="42"/>
        <v>0.12336856557691495</v>
      </c>
      <c r="AD47" s="14">
        <f t="shared" si="43"/>
        <v>203.5591024494606</v>
      </c>
      <c r="AE47" s="14">
        <f t="shared" si="48"/>
        <v>75</v>
      </c>
      <c r="AF47" s="14">
        <f t="shared" si="44"/>
        <v>0.37733402945866318</v>
      </c>
      <c r="AG47" s="14">
        <f t="shared" si="45"/>
        <v>21.94333957056234</v>
      </c>
      <c r="AH47" s="14">
        <f>DEGREES(ATAN((Main!S47/2+Main!D47/2)/Main!C47))</f>
        <v>23.832397317948566</v>
      </c>
      <c r="AI47" s="14">
        <f t="shared" si="46"/>
        <v>45</v>
      </c>
      <c r="AJ47" s="21">
        <f>Main!S47*(G47-Main!T47)/G47/25</f>
        <v>1.6621581997663579</v>
      </c>
      <c r="AK47" s="22"/>
      <c r="AL47" s="22"/>
      <c r="AM47" s="22"/>
      <c r="AN47" s="22"/>
      <c r="AO47" s="22"/>
      <c r="AP47" s="22"/>
    </row>
    <row r="48" spans="1:42" ht="15" customHeight="1" x14ac:dyDescent="0.45">
      <c r="A48" s="13">
        <v>46</v>
      </c>
      <c r="B48" s="32">
        <f t="shared" si="49"/>
        <v>56.740560000000002</v>
      </c>
      <c r="C48" s="32">
        <f t="shared" si="49"/>
        <v>177.77029999999999</v>
      </c>
      <c r="D48" s="32">
        <f t="shared" si="50"/>
        <v>24.0565</v>
      </c>
      <c r="E48" s="11">
        <f t="shared" si="28"/>
        <v>188.15016849169598</v>
      </c>
      <c r="F48" s="11">
        <f t="shared" si="29"/>
        <v>3.315973062156877</v>
      </c>
      <c r="G48" s="11">
        <f>Main!C48</f>
        <v>53.969214753514009</v>
      </c>
      <c r="H48" s="11">
        <f>E48+G48+Main!T48</f>
        <v>252.11938324520997</v>
      </c>
      <c r="I48" s="11">
        <f t="shared" si="30"/>
        <v>76.031794746010007</v>
      </c>
      <c r="J48" s="11">
        <f t="shared" si="31"/>
        <v>238.21046111523435</v>
      </c>
      <c r="K48" s="11">
        <f t="shared" si="32"/>
        <v>32.235474417372508</v>
      </c>
      <c r="L48" s="11">
        <f>(H48-Main!T48)/F48*SIGN(B48)</f>
        <v>73.016088703604623</v>
      </c>
      <c r="M48" s="11">
        <f t="shared" si="21"/>
        <v>228.76214111504018</v>
      </c>
      <c r="N48" s="11">
        <f t="shared" si="22"/>
        <v>30.956894642884464</v>
      </c>
      <c r="O48" s="11">
        <f t="shared" si="33"/>
        <v>126.05969162260499</v>
      </c>
      <c r="P48" s="11">
        <f t="shared" si="34"/>
        <v>38.015897373005004</v>
      </c>
      <c r="Q48" s="11">
        <f t="shared" si="35"/>
        <v>119.10523055761718</v>
      </c>
      <c r="R48" s="11">
        <f t="shared" si="36"/>
        <v>16.117737208686254</v>
      </c>
      <c r="S48" s="11">
        <f t="shared" si="37"/>
        <v>72.29800500153047</v>
      </c>
      <c r="T48" s="11">
        <f t="shared" si="51"/>
        <v>252.29800500153047</v>
      </c>
      <c r="U48" s="11">
        <f t="shared" si="38"/>
        <v>7.345830502233639</v>
      </c>
      <c r="V48" s="11">
        <f t="shared" si="52"/>
        <v>7.345830502233639</v>
      </c>
      <c r="W48" s="11"/>
      <c r="X48" s="14">
        <f t="shared" si="39"/>
        <v>186.60592356943977</v>
      </c>
      <c r="Y48" s="14">
        <f t="shared" si="40"/>
        <v>1.2618382299000346</v>
      </c>
      <c r="Z48" s="14">
        <f t="shared" si="41"/>
        <v>0.12820892855740565</v>
      </c>
      <c r="AA48" s="14">
        <f>-Main!D48/2*SIN(ABS(Z48))+X48</f>
        <v>186.45888689537364</v>
      </c>
      <c r="AB48" s="14">
        <f>Main!D48/2*COS(ABS(Z48))*SIGN(Z48)+D48</f>
        <v>25.19706136024309</v>
      </c>
      <c r="AC48" s="14">
        <f t="shared" si="42"/>
        <v>0.13432099153815941</v>
      </c>
      <c r="AD48" s="14">
        <f t="shared" si="43"/>
        <v>188.15368293885081</v>
      </c>
      <c r="AE48" s="14">
        <f t="shared" si="48"/>
        <v>75</v>
      </c>
      <c r="AF48" s="14">
        <f t="shared" si="44"/>
        <v>0.41000108302249749</v>
      </c>
      <c r="AG48" s="14">
        <f t="shared" si="45"/>
        <v>23.841527065897314</v>
      </c>
      <c r="AH48" s="14">
        <f>DEGREES(ATAN((Main!S48/2+Main!D48/2)/Main!C48))</f>
        <v>25.851835122833503</v>
      </c>
      <c r="AI48" s="14">
        <f t="shared" si="46"/>
        <v>46</v>
      </c>
      <c r="AJ48" s="21">
        <f>Main!S48*(G48-Main!T48)/G48/25</f>
        <v>1.6294183620913665</v>
      </c>
      <c r="AK48" s="22"/>
      <c r="AL48" s="22"/>
      <c r="AM48" s="22"/>
      <c r="AN48" s="22"/>
      <c r="AO48" s="22"/>
      <c r="AP48" s="22"/>
    </row>
    <row r="49" spans="1:42" ht="15" customHeight="1" x14ac:dyDescent="0.45">
      <c r="A49" s="13">
        <v>47</v>
      </c>
      <c r="B49" s="32">
        <f t="shared" si="49"/>
        <v>7.3514189999999999</v>
      </c>
      <c r="C49" s="32">
        <f t="shared" si="49"/>
        <v>176.24610000000001</v>
      </c>
      <c r="D49" s="32">
        <f t="shared" si="50"/>
        <v>24.172799999999999</v>
      </c>
      <c r="E49" s="11">
        <f t="shared" si="28"/>
        <v>178.04790194316686</v>
      </c>
      <c r="F49" s="11">
        <f t="shared" si="29"/>
        <v>24.219528494181446</v>
      </c>
      <c r="G49" s="11">
        <f>Main!C49</f>
        <v>50.495913662547991</v>
      </c>
      <c r="H49" s="11">
        <f>E49+G49+Main!T49</f>
        <v>238.54381560571485</v>
      </c>
      <c r="I49" s="11">
        <f t="shared" si="30"/>
        <v>9.8492344994669558</v>
      </c>
      <c r="J49" s="11">
        <f t="shared" si="31"/>
        <v>236.12980956690171</v>
      </c>
      <c r="K49" s="11">
        <f t="shared" si="32"/>
        <v>32.386070731203709</v>
      </c>
      <c r="L49" s="11">
        <f>(H49-Main!T49)/F49*SIGN(B49)</f>
        <v>9.4363445457090851</v>
      </c>
      <c r="M49" s="11">
        <f t="shared" si="21"/>
        <v>226.23100716167835</v>
      </c>
      <c r="N49" s="11">
        <f t="shared" si="22"/>
        <v>31.02841362116845</v>
      </c>
      <c r="O49" s="11">
        <f t="shared" si="33"/>
        <v>119.27190780285743</v>
      </c>
      <c r="P49" s="11">
        <f t="shared" si="34"/>
        <v>4.9246172497334779</v>
      </c>
      <c r="Q49" s="11">
        <f t="shared" si="35"/>
        <v>118.06490478345086</v>
      </c>
      <c r="R49" s="11">
        <f t="shared" si="36"/>
        <v>16.193035365601855</v>
      </c>
      <c r="S49" s="11">
        <f t="shared" si="37"/>
        <v>87.611514447242925</v>
      </c>
      <c r="T49" s="11">
        <f t="shared" si="51"/>
        <v>267.61151444724294</v>
      </c>
      <c r="U49" s="11">
        <f t="shared" si="38"/>
        <v>7.802899565609323</v>
      </c>
      <c r="V49" s="11">
        <f t="shared" si="52"/>
        <v>7.802899565609323</v>
      </c>
      <c r="W49" s="11"/>
      <c r="X49" s="14">
        <f t="shared" si="39"/>
        <v>176.39935126446346</v>
      </c>
      <c r="Y49" s="14">
        <f t="shared" si="40"/>
        <v>1.5291093897629688</v>
      </c>
      <c r="Z49" s="14">
        <f t="shared" si="41"/>
        <v>0.13618628862231791</v>
      </c>
      <c r="AA49" s="14">
        <f>-Main!D49/2*SIN(ABS(Z49))+X49</f>
        <v>176.2432206968094</v>
      </c>
      <c r="AB49" s="14">
        <f>Main!D49/2*COS(ABS(Z49))*SIGN(Z49)+D49</f>
        <v>25.312152116706692</v>
      </c>
      <c r="AC49" s="14">
        <f t="shared" si="42"/>
        <v>0.14264513478678056</v>
      </c>
      <c r="AD49" s="14">
        <f t="shared" si="43"/>
        <v>178.05161579262224</v>
      </c>
      <c r="AE49" s="14">
        <f t="shared" si="48"/>
        <v>75</v>
      </c>
      <c r="AF49" s="14">
        <f t="shared" si="44"/>
        <v>0.43479685766433041</v>
      </c>
      <c r="AG49" s="14">
        <f t="shared" si="45"/>
        <v>25.282089515464484</v>
      </c>
      <c r="AH49" s="14">
        <f>DEGREES(ATAN((Main!S49/2+Main!D49/2)/Main!C49))</f>
        <v>27.37799840798208</v>
      </c>
      <c r="AI49" s="14">
        <f t="shared" si="46"/>
        <v>47</v>
      </c>
      <c r="AJ49" s="21">
        <f>Main!S49*(G49-Main!T49)/G49/25</f>
        <v>1.603928346882578</v>
      </c>
      <c r="AK49" s="22"/>
      <c r="AL49" s="22"/>
      <c r="AM49" s="22"/>
      <c r="AN49" s="22"/>
      <c r="AO49" s="22"/>
      <c r="AP49" s="22"/>
    </row>
    <row r="50" spans="1:42" ht="15" customHeight="1" x14ac:dyDescent="0.45">
      <c r="A50" s="13">
        <v>48</v>
      </c>
      <c r="B50" s="32">
        <f t="shared" si="49"/>
        <v>-41.758299999999998</v>
      </c>
      <c r="C50" s="32">
        <f t="shared" si="49"/>
        <v>167.3279</v>
      </c>
      <c r="D50" s="32">
        <f t="shared" si="50"/>
        <v>24.2224</v>
      </c>
      <c r="E50" s="11">
        <f t="shared" si="28"/>
        <v>174.15253773362016</v>
      </c>
      <c r="F50" s="11">
        <f t="shared" si="29"/>
        <v>4.1704891658333842</v>
      </c>
      <c r="G50" s="11">
        <f>Main!C50</f>
        <v>49.145501948456534</v>
      </c>
      <c r="H50" s="11">
        <f>E50+G50+Main!T50</f>
        <v>233.29803968207671</v>
      </c>
      <c r="I50" s="11">
        <f t="shared" si="30"/>
        <v>-55.94020998624439</v>
      </c>
      <c r="J50" s="11">
        <f t="shared" si="31"/>
        <v>224.15562564944702</v>
      </c>
      <c r="K50" s="11">
        <f t="shared" si="32"/>
        <v>32.448786046625614</v>
      </c>
      <c r="L50" s="11">
        <f>(H50-Main!T50)/F50*SIGN(B50)</f>
        <v>-53.542409727722024</v>
      </c>
      <c r="M50" s="11">
        <f t="shared" si="21"/>
        <v>214.54750266843473</v>
      </c>
      <c r="N50" s="11">
        <f t="shared" si="22"/>
        <v>31.057913406167732</v>
      </c>
      <c r="O50" s="11">
        <f t="shared" si="33"/>
        <v>116.64901984103835</v>
      </c>
      <c r="P50" s="11">
        <f t="shared" si="34"/>
        <v>-27.970104993122195</v>
      </c>
      <c r="Q50" s="11">
        <f t="shared" si="35"/>
        <v>112.07781282472351</v>
      </c>
      <c r="R50" s="11">
        <f t="shared" si="36"/>
        <v>16.224393023312807</v>
      </c>
      <c r="S50" s="11">
        <f t="shared" si="37"/>
        <v>75.987502531244289</v>
      </c>
      <c r="T50" s="11">
        <f t="shared" ref="T50:T55" si="53">-S50</f>
        <v>-75.987502531244289</v>
      </c>
      <c r="U50" s="11">
        <f t="shared" si="38"/>
        <v>7.9950336044149566</v>
      </c>
      <c r="V50" s="11">
        <f t="shared" si="52"/>
        <v>7.9950336044149566</v>
      </c>
      <c r="W50" s="11"/>
      <c r="X50" s="14">
        <f t="shared" si="39"/>
        <v>172.45979745233379</v>
      </c>
      <c r="Y50" s="14">
        <f t="shared" si="40"/>
        <v>1.815360544052055</v>
      </c>
      <c r="Z50" s="14">
        <f t="shared" si="41"/>
        <v>0.13953966020463082</v>
      </c>
      <c r="AA50" s="14">
        <f>-Main!D50/2*SIN(ABS(Z50))+X50</f>
        <v>172.29984709868114</v>
      </c>
      <c r="AB50" s="14">
        <f>Main!D50/2*COS(ABS(Z50))*SIGN(Z50)+D50</f>
        <v>25.361222147820452</v>
      </c>
      <c r="AC50" s="14">
        <f t="shared" si="42"/>
        <v>0.1461429707286207</v>
      </c>
      <c r="AD50" s="14">
        <f t="shared" si="43"/>
        <v>174.15633465096812</v>
      </c>
      <c r="AE50" s="14">
        <f t="shared" si="48"/>
        <v>75</v>
      </c>
      <c r="AF50" s="14">
        <f t="shared" si="44"/>
        <v>0.44521015251189933</v>
      </c>
      <c r="AG50" s="14">
        <f t="shared" si="45"/>
        <v>25.887004559146479</v>
      </c>
      <c r="AH50" s="14">
        <f>DEGREES(ATAN((Main!S50/2+Main!D50/2)/Main!C50))</f>
        <v>28.017150729106145</v>
      </c>
      <c r="AI50" s="14">
        <f t="shared" si="46"/>
        <v>48</v>
      </c>
      <c r="AJ50" s="21">
        <f>Main!S50*(G50-Main!T50)/G50/25</f>
        <v>1.5930451576020963</v>
      </c>
      <c r="AK50" s="22"/>
      <c r="AL50" s="22"/>
      <c r="AM50" s="22"/>
      <c r="AN50" s="22"/>
      <c r="AO50" s="22"/>
      <c r="AP50" s="22"/>
    </row>
    <row r="51" spans="1:42" ht="15" customHeight="1" x14ac:dyDescent="0.45">
      <c r="A51" s="13">
        <v>49</v>
      </c>
      <c r="B51" s="32">
        <f t="shared" si="49"/>
        <v>-89.062299999999993</v>
      </c>
      <c r="C51" s="32">
        <f t="shared" si="49"/>
        <v>150.8126</v>
      </c>
      <c r="D51" s="32">
        <f t="shared" si="50"/>
        <v>24.188300000000002</v>
      </c>
      <c r="E51" s="11">
        <f t="shared" si="28"/>
        <v>176.80952309460031</v>
      </c>
      <c r="F51" s="11">
        <f t="shared" si="29"/>
        <v>1.9852341910617659</v>
      </c>
      <c r="G51" s="11">
        <f>Main!C51</f>
        <v>50.067327093521619</v>
      </c>
      <c r="H51" s="11">
        <f>E51+G51+Main!T51</f>
        <v>236.87685018812192</v>
      </c>
      <c r="I51" s="11">
        <f t="shared" si="30"/>
        <v>-119.31934844494729</v>
      </c>
      <c r="J51" s="11">
        <f t="shared" si="31"/>
        <v>202.04801772791023</v>
      </c>
      <c r="K51" s="11">
        <f t="shared" si="32"/>
        <v>32.405767603025289</v>
      </c>
      <c r="L51" s="11">
        <f>(H51-Main!T51)/F51*SIGN(B51)</f>
        <v>-114.28215935913386</v>
      </c>
      <c r="M51" s="11">
        <f t="shared" si="21"/>
        <v>193.51835273247278</v>
      </c>
      <c r="N51" s="11">
        <f t="shared" si="22"/>
        <v>31.037724774978166</v>
      </c>
      <c r="O51" s="11">
        <f t="shared" si="33"/>
        <v>118.43842509406096</v>
      </c>
      <c r="P51" s="11">
        <f t="shared" si="34"/>
        <v>-59.659674222473647</v>
      </c>
      <c r="Q51" s="11">
        <f t="shared" si="35"/>
        <v>101.02400886395512</v>
      </c>
      <c r="R51" s="11">
        <f t="shared" si="36"/>
        <v>16.202883801512645</v>
      </c>
      <c r="S51" s="11">
        <f t="shared" si="37"/>
        <v>59.436047949223919</v>
      </c>
      <c r="T51" s="11">
        <f t="shared" si="53"/>
        <v>-59.436047949223919</v>
      </c>
      <c r="U51" s="11">
        <f t="shared" si="38"/>
        <v>7.8629657869469867</v>
      </c>
      <c r="V51" s="11">
        <f t="shared" si="52"/>
        <v>7.8629657869469867</v>
      </c>
      <c r="W51" s="11"/>
      <c r="X51" s="14">
        <f t="shared" si="39"/>
        <v>175.14717696854265</v>
      </c>
      <c r="Y51" s="14">
        <f t="shared" si="40"/>
        <v>2.1042379225026124</v>
      </c>
      <c r="Z51" s="14">
        <f t="shared" si="41"/>
        <v>0.13723464195389193</v>
      </c>
      <c r="AA51" s="14">
        <f>-Main!D51/2*SIN(ABS(Z51))+X51</f>
        <v>174.98985204331723</v>
      </c>
      <c r="AB51" s="14">
        <f>Main!D51/2*COS(ABS(Z51))*SIGN(Z51)+D51</f>
        <v>25.327487810636516</v>
      </c>
      <c r="AC51" s="14">
        <f t="shared" si="42"/>
        <v>0.14373872478631461</v>
      </c>
      <c r="AD51" s="14">
        <f t="shared" si="43"/>
        <v>176.81326295541291</v>
      </c>
      <c r="AE51" s="14">
        <f t="shared" si="48"/>
        <v>75</v>
      </c>
      <c r="AF51" s="14">
        <f t="shared" si="44"/>
        <v>0.43805213549065714</v>
      </c>
      <c r="AG51" s="14">
        <f t="shared" si="45"/>
        <v>25.471195066208868</v>
      </c>
      <c r="AH51" s="14">
        <f>DEGREES(ATAN((Main!S51/2+Main!D51/2)/Main!C51))</f>
        <v>27.577916988631973</v>
      </c>
      <c r="AI51" s="14">
        <f t="shared" si="46"/>
        <v>49</v>
      </c>
      <c r="AJ51" s="21">
        <f>Main!S51*(G51-Main!T51)/G51/25</f>
        <v>1.6005378924534626</v>
      </c>
      <c r="AK51" s="22"/>
      <c r="AL51" s="22"/>
      <c r="AM51" s="22"/>
      <c r="AN51" s="22"/>
      <c r="AO51" s="22"/>
      <c r="AP51" s="22"/>
    </row>
    <row r="52" spans="1:42" ht="15" customHeight="1" x14ac:dyDescent="0.45">
      <c r="A52" s="13">
        <v>50</v>
      </c>
      <c r="B52" s="32">
        <f t="shared" si="49"/>
        <v>-132.36099999999999</v>
      </c>
      <c r="C52" s="32">
        <f t="shared" si="49"/>
        <v>126.955</v>
      </c>
      <c r="D52" s="32">
        <f t="shared" si="50"/>
        <v>24.091200000000001</v>
      </c>
      <c r="E52" s="11">
        <f t="shared" si="28"/>
        <v>184.97943740708044</v>
      </c>
      <c r="F52" s="11">
        <f t="shared" si="29"/>
        <v>1.3975373214699229</v>
      </c>
      <c r="G52" s="11">
        <f>Main!C52</f>
        <v>52.883243871265748</v>
      </c>
      <c r="H52" s="11">
        <f>E52+G52+Main!T52</f>
        <v>247.8626812783462</v>
      </c>
      <c r="I52" s="11">
        <f t="shared" si="30"/>
        <v>-177.35675281834008</v>
      </c>
      <c r="J52" s="11">
        <f t="shared" si="31"/>
        <v>170.11299819472779</v>
      </c>
      <c r="K52" s="11">
        <f t="shared" si="32"/>
        <v>32.28093625386024</v>
      </c>
      <c r="L52" s="11">
        <f>(H52-Main!T52)/F52*SIGN(B52)</f>
        <v>-170.20130884816973</v>
      </c>
      <c r="M52" s="11">
        <f t="shared" si="21"/>
        <v>163.24980292396847</v>
      </c>
      <c r="N52" s="11">
        <f t="shared" si="22"/>
        <v>30.978564469315181</v>
      </c>
      <c r="O52" s="11">
        <f t="shared" si="33"/>
        <v>123.9313406391731</v>
      </c>
      <c r="P52" s="11">
        <f t="shared" si="34"/>
        <v>-88.678376409170042</v>
      </c>
      <c r="Q52" s="11">
        <f t="shared" si="35"/>
        <v>85.056499097363897</v>
      </c>
      <c r="R52" s="11">
        <f t="shared" si="36"/>
        <v>16.14046812693012</v>
      </c>
      <c r="S52" s="11">
        <f t="shared" si="37"/>
        <v>43.805719183485337</v>
      </c>
      <c r="T52" s="11">
        <f t="shared" si="53"/>
        <v>-43.805719183485337</v>
      </c>
      <c r="U52" s="11">
        <f t="shared" si="38"/>
        <v>7.483298161980187</v>
      </c>
      <c r="V52" s="11">
        <f t="shared" si="52"/>
        <v>7.483298161980187</v>
      </c>
      <c r="W52" s="11"/>
      <c r="X52" s="14">
        <f t="shared" si="39"/>
        <v>183.40394310374026</v>
      </c>
      <c r="Y52" s="14">
        <f t="shared" si="40"/>
        <v>2.3770386226339317</v>
      </c>
      <c r="Z52" s="14">
        <f t="shared" si="41"/>
        <v>0.13060819183499414</v>
      </c>
      <c r="AA52" s="14">
        <f>-Main!D52/2*SIN(ABS(Z52))+X52</f>
        <v>183.25417034851759</v>
      </c>
      <c r="AB52" s="14">
        <f>Main!D52/2*COS(ABS(Z52))*SIGN(Z52)+D52</f>
        <v>25.23140529809022</v>
      </c>
      <c r="AC52" s="14">
        <f t="shared" si="42"/>
        <v>0.13682501896267241</v>
      </c>
      <c r="AD52" s="14">
        <f t="shared" si="43"/>
        <v>184.98301209419202</v>
      </c>
      <c r="AE52" s="14">
        <f t="shared" si="48"/>
        <v>75</v>
      </c>
      <c r="AF52" s="14">
        <f t="shared" si="44"/>
        <v>0.41746299905432321</v>
      </c>
      <c r="AG52" s="14">
        <f t="shared" si="45"/>
        <v>24.275065905065002</v>
      </c>
      <c r="AH52" s="14">
        <f>DEGREES(ATAN((Main!S52/2+Main!D52/2)/Main!C52))</f>
        <v>26.311730344504141</v>
      </c>
      <c r="AI52" s="14">
        <f t="shared" si="46"/>
        <v>50</v>
      </c>
      <c r="AJ52" s="21">
        <f>Main!S52*(G52-Main!T52)/G52/25</f>
        <v>1.6218083737698428</v>
      </c>
      <c r="AK52" s="22"/>
      <c r="AL52" s="22"/>
      <c r="AM52" s="22"/>
      <c r="AN52" s="22"/>
      <c r="AO52" s="22"/>
      <c r="AP52" s="22"/>
    </row>
    <row r="53" spans="1:42" ht="15" customHeight="1" x14ac:dyDescent="0.45">
      <c r="A53" s="13">
        <v>51</v>
      </c>
      <c r="B53" s="32">
        <f t="shared" si="49"/>
        <v>-170.499</v>
      </c>
      <c r="C53" s="32">
        <f t="shared" si="49"/>
        <v>95.572720000000004</v>
      </c>
      <c r="D53" s="32">
        <f t="shared" si="50"/>
        <v>23.9678</v>
      </c>
      <c r="E53" s="11">
        <f t="shared" si="28"/>
        <v>196.92259709347326</v>
      </c>
      <c r="F53" s="11">
        <f t="shared" si="29"/>
        <v>1.1549780180146116</v>
      </c>
      <c r="G53" s="11">
        <f>Main!C53</f>
        <v>56.956125596086267</v>
      </c>
      <c r="H53" s="11">
        <f>E53+G53+Main!T53</f>
        <v>263.87872268955954</v>
      </c>
      <c r="I53" s="11">
        <f t="shared" si="30"/>
        <v>-228.47077483185589</v>
      </c>
      <c r="J53" s="11">
        <f t="shared" si="31"/>
        <v>128.06863026286379</v>
      </c>
      <c r="K53" s="11">
        <f t="shared" si="32"/>
        <v>32.117149291285912</v>
      </c>
      <c r="L53" s="11">
        <f>(H53-Main!T53)/F53*SIGN(B53)</f>
        <v>-219.81260139130001</v>
      </c>
      <c r="M53" s="11">
        <f t="shared" si="21"/>
        <v>123.21531624961041</v>
      </c>
      <c r="N53" s="11">
        <f t="shared" si="22"/>
        <v>30.900031481864414</v>
      </c>
      <c r="O53" s="11">
        <f t="shared" si="33"/>
        <v>131.93936134477977</v>
      </c>
      <c r="P53" s="11">
        <f t="shared" si="34"/>
        <v>-114.23538741592795</v>
      </c>
      <c r="Q53" s="11">
        <f t="shared" si="35"/>
        <v>64.034315131431896</v>
      </c>
      <c r="R53" s="11">
        <f t="shared" si="36"/>
        <v>16.058574645642956</v>
      </c>
      <c r="S53" s="11">
        <f t="shared" si="37"/>
        <v>29.272683834126891</v>
      </c>
      <c r="T53" s="11">
        <f t="shared" si="53"/>
        <v>-29.272683834126891</v>
      </c>
      <c r="U53" s="11">
        <f t="shared" si="38"/>
        <v>6.9909046282808163</v>
      </c>
      <c r="V53" s="11">
        <f t="shared" si="52"/>
        <v>6.9909046282808163</v>
      </c>
      <c r="W53" s="11"/>
      <c r="X53" s="14">
        <f t="shared" si="39"/>
        <v>195.45857312790963</v>
      </c>
      <c r="Y53" s="14">
        <f t="shared" si="40"/>
        <v>2.6306879397889613</v>
      </c>
      <c r="Z53" s="14">
        <f t="shared" si="41"/>
        <v>0.1220143034564105</v>
      </c>
      <c r="AA53" s="14">
        <f>-Main!D53/2*SIN(ABS(Z53))+X53</f>
        <v>195.31860457982617</v>
      </c>
      <c r="AB53" s="14">
        <f>Main!D53/2*COS(ABS(Z53))*SIGN(Z53)+D53</f>
        <v>25.109250307962377</v>
      </c>
      <c r="AC53" s="14">
        <f t="shared" si="42"/>
        <v>0.12785409504997844</v>
      </c>
      <c r="AD53" s="14">
        <f t="shared" si="43"/>
        <v>196.92595498318244</v>
      </c>
      <c r="AE53" s="14">
        <f t="shared" si="48"/>
        <v>75</v>
      </c>
      <c r="AF53" s="14">
        <f t="shared" si="44"/>
        <v>0.39071952167184115</v>
      </c>
      <c r="AG53" s="14">
        <f t="shared" si="45"/>
        <v>22.721174976714224</v>
      </c>
      <c r="AH53" s="14">
        <f>DEGREES(ATAN((Main!S53/2+Main!D53/2)/Main!C53))</f>
        <v>24.661053950124078</v>
      </c>
      <c r="AI53" s="14">
        <f t="shared" si="46"/>
        <v>51</v>
      </c>
      <c r="AJ53" s="21">
        <f>Main!S53*(G53-Main!T53)/G53/25</f>
        <v>1.6488525195369979</v>
      </c>
      <c r="AK53" s="22"/>
      <c r="AL53" s="22"/>
      <c r="AM53" s="22"/>
      <c r="AN53" s="22"/>
      <c r="AO53" s="22"/>
      <c r="AP53" s="22"/>
    </row>
    <row r="54" spans="1:42" ht="15" customHeight="1" x14ac:dyDescent="0.45">
      <c r="A54" s="13">
        <v>52</v>
      </c>
      <c r="B54" s="32">
        <f t="shared" si="49"/>
        <v>-201.25800000000001</v>
      </c>
      <c r="C54" s="32">
        <f t="shared" si="49"/>
        <v>56.977739999999997</v>
      </c>
      <c r="D54" s="32">
        <f t="shared" si="50"/>
        <v>23.848500000000001</v>
      </c>
      <c r="E54" s="11">
        <f t="shared" si="28"/>
        <v>210.52314925384712</v>
      </c>
      <c r="F54" s="11">
        <f t="shared" si="29"/>
        <v>1.0460361787051802</v>
      </c>
      <c r="G54" s="11">
        <f>Main!C54</f>
        <v>61.542946761910066</v>
      </c>
      <c r="H54" s="11">
        <f>E54+G54+Main!T54</f>
        <v>282.06609601575718</v>
      </c>
      <c r="I54" s="11">
        <f t="shared" si="30"/>
        <v>-269.65233302437815</v>
      </c>
      <c r="J54" s="11">
        <f t="shared" si="31"/>
        <v>76.340719481741999</v>
      </c>
      <c r="K54" s="11">
        <f t="shared" si="32"/>
        <v>31.953033738444599</v>
      </c>
      <c r="L54" s="11">
        <f>(H54-Main!T54)/F54*SIGN(B54)</f>
        <v>-260.09243423351762</v>
      </c>
      <c r="M54" s="11">
        <f t="shared" si="21"/>
        <v>73.634236123406097</v>
      </c>
      <c r="N54" s="11">
        <f t="shared" si="22"/>
        <v>30.820212949637011</v>
      </c>
      <c r="O54" s="11">
        <f t="shared" si="33"/>
        <v>141.03304800787859</v>
      </c>
      <c r="P54" s="11">
        <f t="shared" si="34"/>
        <v>-134.82616651218908</v>
      </c>
      <c r="Q54" s="11">
        <f t="shared" si="35"/>
        <v>38.170359740871</v>
      </c>
      <c r="R54" s="11">
        <f t="shared" si="36"/>
        <v>15.9765168692223</v>
      </c>
      <c r="S54" s="11">
        <f t="shared" si="37"/>
        <v>15.80723941078455</v>
      </c>
      <c r="T54" s="11">
        <f t="shared" si="53"/>
        <v>-15.80723941078455</v>
      </c>
      <c r="U54" s="11">
        <f t="shared" si="38"/>
        <v>6.5045478930677234</v>
      </c>
      <c r="V54" s="11">
        <f t="shared" si="52"/>
        <v>6.5045478930677234</v>
      </c>
      <c r="W54" s="11"/>
      <c r="X54" s="14">
        <f t="shared" si="39"/>
        <v>209.16798373438417</v>
      </c>
      <c r="Y54" s="14">
        <f t="shared" si="40"/>
        <v>2.8657042802205943</v>
      </c>
      <c r="Z54" s="14">
        <f t="shared" si="41"/>
        <v>0.11352577708769178</v>
      </c>
      <c r="AA54" s="14">
        <f>-Main!D54/2*SIN(ABS(Z54))+X54</f>
        <v>209.03770934367128</v>
      </c>
      <c r="AB54" s="14">
        <f>Main!D54/2*COS(ABS(Z54))*SIGN(Z54)+D54</f>
        <v>24.991097297005552</v>
      </c>
      <c r="AC54" s="14">
        <f t="shared" si="42"/>
        <v>0.11898830491747764</v>
      </c>
      <c r="AD54" s="14">
        <f t="shared" si="43"/>
        <v>210.52629021515958</v>
      </c>
      <c r="AE54" s="14">
        <f t="shared" si="48"/>
        <v>75</v>
      </c>
      <c r="AF54" s="14">
        <f t="shared" si="44"/>
        <v>0.364251543194343</v>
      </c>
      <c r="AG54" s="14">
        <f t="shared" si="45"/>
        <v>21.183055896282543</v>
      </c>
      <c r="AH54" s="14">
        <f>DEGREES(ATAN((Main!S54/2+Main!D54/2)/Main!C54))</f>
        <v>23.020955788804368</v>
      </c>
      <c r="AI54" s="14">
        <f t="shared" si="46"/>
        <v>52</v>
      </c>
      <c r="AJ54" s="21">
        <f>Main!S54*(G54-Main!T54)/G54/25</f>
        <v>1.6750236858599965</v>
      </c>
      <c r="AK54" s="22"/>
      <c r="AL54" s="22"/>
      <c r="AM54" s="22"/>
      <c r="AN54" s="22"/>
      <c r="AO54" s="22"/>
      <c r="AP54" s="22"/>
    </row>
    <row r="55" spans="1:42" ht="15" customHeight="1" x14ac:dyDescent="0.45">
      <c r="A55" s="13">
        <v>53</v>
      </c>
      <c r="B55" s="32">
        <f t="shared" si="49"/>
        <v>-221.94800000000001</v>
      </c>
      <c r="C55" s="32">
        <f t="shared" si="49"/>
        <v>12.562290000000001</v>
      </c>
      <c r="D55" s="32">
        <f t="shared" si="50"/>
        <v>23.750900000000001</v>
      </c>
      <c r="E55" s="11">
        <f t="shared" si="28"/>
        <v>223.56840359239965</v>
      </c>
      <c r="F55" s="11">
        <f t="shared" si="29"/>
        <v>1.0073008253843228</v>
      </c>
      <c r="G55" s="11">
        <f>Main!C55</f>
        <v>65.901303456159482</v>
      </c>
      <c r="H55" s="11">
        <f>E55+G55+Main!T55</f>
        <v>299.46970704855914</v>
      </c>
      <c r="I55" s="11">
        <f t="shared" si="30"/>
        <v>-297.29917766552046</v>
      </c>
      <c r="J55" s="11">
        <f t="shared" si="31"/>
        <v>16.827177927243277</v>
      </c>
      <c r="K55" s="11">
        <f t="shared" si="32"/>
        <v>31.814312536341891</v>
      </c>
      <c r="L55" s="11">
        <f>(H55-Main!T55)/F55*SIGN(B55)</f>
        <v>-287.37165676213527</v>
      </c>
      <c r="M55" s="11">
        <f t="shared" si="21"/>
        <v>16.265278759107559</v>
      </c>
      <c r="N55" s="11">
        <f t="shared" si="22"/>
        <v>30.751957587325858</v>
      </c>
      <c r="O55" s="11">
        <f t="shared" si="33"/>
        <v>149.73485352427957</v>
      </c>
      <c r="P55" s="11">
        <f t="shared" si="34"/>
        <v>-148.64958883276023</v>
      </c>
      <c r="Q55" s="11">
        <f t="shared" si="35"/>
        <v>8.4135889636216383</v>
      </c>
      <c r="R55" s="11">
        <f t="shared" si="36"/>
        <v>15.907156268170946</v>
      </c>
      <c r="S55" s="11">
        <f t="shared" si="37"/>
        <v>3.239493319287543</v>
      </c>
      <c r="T55" s="11">
        <f t="shared" si="53"/>
        <v>-3.239493319287543</v>
      </c>
      <c r="U55" s="11">
        <f t="shared" si="38"/>
        <v>6.0983533701058548</v>
      </c>
      <c r="V55" s="11">
        <f t="shared" si="52"/>
        <v>6.0983533701058548</v>
      </c>
      <c r="W55" s="11"/>
      <c r="X55" s="14">
        <f t="shared" si="39"/>
        <v>222.30322947281738</v>
      </c>
      <c r="Y55" s="14">
        <f t="shared" si="40"/>
        <v>3.0850528290718655</v>
      </c>
      <c r="Z55" s="14">
        <f t="shared" si="41"/>
        <v>0.10643634525843955</v>
      </c>
      <c r="AA55" s="14">
        <f>-Main!D55/2*SIN(ABS(Z55))+X55</f>
        <v>222.18105865368054</v>
      </c>
      <c r="AB55" s="14">
        <f>Main!D55/2*COS(ABS(Z55))*SIGN(Z55)+D55</f>
        <v>24.894392147306416</v>
      </c>
      <c r="AC55" s="14">
        <f t="shared" si="42"/>
        <v>0.11158013945758853</v>
      </c>
      <c r="AD55" s="14">
        <f t="shared" si="43"/>
        <v>223.57136128058553</v>
      </c>
      <c r="AE55" s="14">
        <f t="shared" si="48"/>
        <v>75</v>
      </c>
      <c r="AF55" s="14">
        <f t="shared" si="44"/>
        <v>0.34209704858320267</v>
      </c>
      <c r="AG55" s="14">
        <f t="shared" si="45"/>
        <v>19.895434765994505</v>
      </c>
      <c r="AH55" s="14">
        <f>DEGREES(ATAN((Main!S55/2+Main!D55/2)/Main!C55))</f>
        <v>21.643450472985801</v>
      </c>
      <c r="AI55" s="14">
        <f t="shared" si="46"/>
        <v>53</v>
      </c>
      <c r="AJ55" s="21">
        <f>Main!S55*(G55-Main!T55)/G55/25</f>
        <v>1.6965158661345006</v>
      </c>
      <c r="AK55" s="22"/>
      <c r="AL55" s="22"/>
      <c r="AM55" s="22"/>
      <c r="AN55" s="22"/>
      <c r="AO55" s="22"/>
      <c r="AP55" s="22"/>
    </row>
    <row r="56" spans="1:42" ht="15" customHeight="1" x14ac:dyDescent="0.45">
      <c r="A56" s="13">
        <v>54</v>
      </c>
      <c r="B56" s="32">
        <f t="shared" si="49"/>
        <v>-230.423</v>
      </c>
      <c r="C56" s="32">
        <f t="shared" si="49"/>
        <v>-35.1111</v>
      </c>
      <c r="D56" s="32">
        <f t="shared" si="50"/>
        <v>23.680599999999998</v>
      </c>
      <c r="E56" s="11">
        <f t="shared" si="28"/>
        <v>234.28256249360516</v>
      </c>
      <c r="F56" s="11">
        <f t="shared" si="29"/>
        <v>1.0167499012407837</v>
      </c>
      <c r="G56" s="11">
        <f>Main!C56</f>
        <v>69.456101956631855</v>
      </c>
      <c r="H56" s="11">
        <f>E56+G56+Main!T56</f>
        <v>313.73866445023702</v>
      </c>
      <c r="I56" s="11">
        <f t="shared" si="30"/>
        <v>-308.57014499570465</v>
      </c>
      <c r="J56" s="11">
        <f t="shared" si="31"/>
        <v>-47.018905308752537</v>
      </c>
      <c r="K56" s="11">
        <f t="shared" si="32"/>
        <v>31.711791685661947</v>
      </c>
      <c r="L56" s="11">
        <f>(H56-Main!T56)/F56*SIGN(B56)</f>
        <v>-298.7348846354169</v>
      </c>
      <c r="M56" s="11">
        <f t="shared" si="21"/>
        <v>-45.520240635364466</v>
      </c>
      <c r="N56" s="11">
        <f t="shared" si="22"/>
        <v>30.70102077091893</v>
      </c>
      <c r="O56" s="11">
        <f t="shared" si="33"/>
        <v>156.86933222511851</v>
      </c>
      <c r="P56" s="11">
        <f t="shared" si="34"/>
        <v>-154.28507249785233</v>
      </c>
      <c r="Q56" s="11">
        <f t="shared" si="35"/>
        <v>-23.509452654376268</v>
      </c>
      <c r="R56" s="11">
        <f t="shared" si="36"/>
        <v>15.855895842830973</v>
      </c>
      <c r="S56" s="11">
        <f t="shared" si="37"/>
        <v>8.6638982069119823</v>
      </c>
      <c r="T56" s="11">
        <f t="shared" ref="T56:T62" si="54">S56</f>
        <v>8.6638982069119823</v>
      </c>
      <c r="U56" s="11">
        <f t="shared" si="38"/>
        <v>5.8011975570406662</v>
      </c>
      <c r="V56" s="11">
        <f t="shared" si="52"/>
        <v>5.8011975570406662</v>
      </c>
      <c r="W56" s="11"/>
      <c r="X56" s="14">
        <f t="shared" si="39"/>
        <v>233.08270693513495</v>
      </c>
      <c r="Y56" s="14">
        <f t="shared" si="40"/>
        <v>-2.9903791038215459</v>
      </c>
      <c r="Z56" s="14">
        <f t="shared" si="41"/>
        <v>0.10124999792901108</v>
      </c>
      <c r="AA56" s="14">
        <f>-Main!D56/2*SIN(ABS(Z56))+X56</f>
        <v>232.96646827993951</v>
      </c>
      <c r="AB56" s="14">
        <f>Main!D56/2*COS(ABS(Z56))*SIGN(Z56)+D56</f>
        <v>24.82471038586246</v>
      </c>
      <c r="AC56" s="14">
        <f t="shared" si="42"/>
        <v>0.10615856112600972</v>
      </c>
      <c r="AD56" s="14">
        <f t="shared" si="43"/>
        <v>234.2853849231104</v>
      </c>
      <c r="AE56" s="14">
        <f t="shared" si="48"/>
        <v>75</v>
      </c>
      <c r="AF56" s="14">
        <f t="shared" si="44"/>
        <v>0.32585868473742441</v>
      </c>
      <c r="AG56" s="14">
        <f t="shared" si="45"/>
        <v>18.951567307799735</v>
      </c>
      <c r="AH56" s="14">
        <f>DEGREES(ATAN((Main!S56/2+Main!D56/2)/Main!C56))</f>
        <v>20.631195235635133</v>
      </c>
      <c r="AI56" s="14">
        <f t="shared" si="46"/>
        <v>54</v>
      </c>
      <c r="AJ56" s="21">
        <f>Main!S56*(G56-Main!T56)/G56/25</f>
        <v>1.7120483379201452</v>
      </c>
      <c r="AK56" s="22"/>
      <c r="AL56" s="22"/>
      <c r="AM56" s="22"/>
      <c r="AN56" s="22"/>
      <c r="AO56" s="22"/>
      <c r="AP56" s="22"/>
    </row>
    <row r="57" spans="1:42" ht="15" customHeight="1" x14ac:dyDescent="0.45">
      <c r="A57" s="13">
        <v>55</v>
      </c>
      <c r="B57" s="32">
        <f t="shared" si="49"/>
        <v>-225.92699999999999</v>
      </c>
      <c r="C57" s="32">
        <f t="shared" si="49"/>
        <v>-82.936499999999995</v>
      </c>
      <c r="D57" s="32">
        <f t="shared" si="50"/>
        <v>23.6357</v>
      </c>
      <c r="E57" s="11">
        <f t="shared" si="28"/>
        <v>241.82662937679132</v>
      </c>
      <c r="F57" s="11">
        <f t="shared" si="29"/>
        <v>1.0703750741469207</v>
      </c>
      <c r="G57" s="11">
        <f>Main!C57</f>
        <v>71.947650441269602</v>
      </c>
      <c r="H57" s="11">
        <f>E57+G57+Main!T57</f>
        <v>323.7742798180609</v>
      </c>
      <c r="I57" s="11">
        <f t="shared" si="30"/>
        <v>-302.48675220329295</v>
      </c>
      <c r="J57" s="11">
        <f t="shared" si="31"/>
        <v>-111.04114392750049</v>
      </c>
      <c r="K57" s="11">
        <f t="shared" si="32"/>
        <v>31.645116028856094</v>
      </c>
      <c r="L57" s="11">
        <f>(H57-Main!T57)/F57*SIGN(B57)</f>
        <v>-293.14423270565806</v>
      </c>
      <c r="M57" s="11">
        <f t="shared" si="21"/>
        <v>-107.61155884773757</v>
      </c>
      <c r="N57" s="11">
        <f t="shared" si="22"/>
        <v>30.66773400683018</v>
      </c>
      <c r="O57" s="11">
        <f t="shared" si="33"/>
        <v>161.88713990903045</v>
      </c>
      <c r="P57" s="11">
        <f t="shared" si="34"/>
        <v>-151.24337610164648</v>
      </c>
      <c r="Q57" s="11">
        <f t="shared" si="35"/>
        <v>-55.520571963750243</v>
      </c>
      <c r="R57" s="11">
        <f t="shared" si="36"/>
        <v>15.822558014428047</v>
      </c>
      <c r="S57" s="11">
        <f t="shared" si="37"/>
        <v>20.157895203759942</v>
      </c>
      <c r="T57" s="11">
        <f t="shared" si="54"/>
        <v>20.157895203759942</v>
      </c>
      <c r="U57" s="11">
        <f t="shared" si="38"/>
        <v>5.6089409140746653</v>
      </c>
      <c r="V57" s="11">
        <f t="shared" si="52"/>
        <v>5.6089409140746653</v>
      </c>
      <c r="W57" s="11"/>
      <c r="X57" s="14">
        <f t="shared" si="39"/>
        <v>240.66880221842214</v>
      </c>
      <c r="Y57" s="14">
        <f t="shared" si="40"/>
        <v>-2.789771012012209</v>
      </c>
      <c r="Z57" s="14">
        <f t="shared" si="41"/>
        <v>9.7894486500423247E-2</v>
      </c>
      <c r="AA57" s="14">
        <f>-Main!D57/2*SIN(ABS(Z57))+X57</f>
        <v>240.55640328588916</v>
      </c>
      <c r="AB57" s="14">
        <f>Main!D57/2*COS(ABS(Z57))*SIGN(Z57)+D57</f>
        <v>24.780193984241702</v>
      </c>
      <c r="AC57" s="14">
        <f t="shared" si="42"/>
        <v>0.10264992362569227</v>
      </c>
      <c r="AD57" s="14">
        <f t="shared" si="43"/>
        <v>241.82936375829135</v>
      </c>
      <c r="AE57" s="14">
        <f t="shared" si="48"/>
        <v>75</v>
      </c>
      <c r="AF57" s="14">
        <f t="shared" si="44"/>
        <v>0.31533611948166318</v>
      </c>
      <c r="AG57" s="14">
        <f t="shared" si="45"/>
        <v>18.339895251350097</v>
      </c>
      <c r="AH57" s="14">
        <f>DEGREES(ATAN((Main!S57/2+Main!D57/2)/Main!C57))</f>
        <v>19.974115818221598</v>
      </c>
      <c r="AI57" s="14">
        <f t="shared" si="46"/>
        <v>55</v>
      </c>
      <c r="AJ57" s="21">
        <f>Main!S57*(G57-Main!T57)/G57/25</f>
        <v>1.7220201093804184</v>
      </c>
      <c r="AK57" s="22"/>
      <c r="AL57" s="22"/>
      <c r="AM57" s="22"/>
      <c r="AN57" s="22"/>
      <c r="AO57" s="22"/>
      <c r="AP57" s="22"/>
    </row>
    <row r="58" spans="1:42" ht="15" customHeight="1" x14ac:dyDescent="0.45">
      <c r="A58" s="13">
        <v>56</v>
      </c>
      <c r="B58" s="32">
        <f t="shared" si="49"/>
        <v>-209.22900000000001</v>
      </c>
      <c r="C58" s="32">
        <f t="shared" si="49"/>
        <v>-127.899</v>
      </c>
      <c r="D58" s="32">
        <f t="shared" si="50"/>
        <v>23.610299999999999</v>
      </c>
      <c r="E58" s="11">
        <f t="shared" si="28"/>
        <v>246.35822476241788</v>
      </c>
      <c r="F58" s="11">
        <f t="shared" si="29"/>
        <v>1.1774573542024187</v>
      </c>
      <c r="G58" s="11">
        <f>Main!C58</f>
        <v>73.440195299021383</v>
      </c>
      <c r="H58" s="11">
        <f>E58+G58+Main!T58</f>
        <v>329.79842006143929</v>
      </c>
      <c r="I58" s="11">
        <f t="shared" si="30"/>
        <v>-280.09372813747194</v>
      </c>
      <c r="J58" s="11">
        <f t="shared" si="31"/>
        <v>-171.21769800101572</v>
      </c>
      <c r="K58" s="11">
        <f t="shared" si="32"/>
        <v>31.606980626223674</v>
      </c>
      <c r="L58" s="11">
        <f>(H58-Main!T58)/F58*SIGN(B58)</f>
        <v>-271.60085154681718</v>
      </c>
      <c r="M58" s="11">
        <f t="shared" si="21"/>
        <v>-166.02611163837884</v>
      </c>
      <c r="N58" s="11">
        <f t="shared" si="22"/>
        <v>30.64860791417928</v>
      </c>
      <c r="O58" s="11">
        <f t="shared" si="33"/>
        <v>164.89921003071964</v>
      </c>
      <c r="P58" s="11">
        <f t="shared" si="34"/>
        <v>-140.04686406873597</v>
      </c>
      <c r="Q58" s="11">
        <f t="shared" si="35"/>
        <v>-85.60884900050786</v>
      </c>
      <c r="R58" s="11">
        <f t="shared" si="36"/>
        <v>15.803490313111837</v>
      </c>
      <c r="S58" s="11">
        <f t="shared" si="37"/>
        <v>31.43690893995597</v>
      </c>
      <c r="T58" s="11">
        <f t="shared" si="54"/>
        <v>31.43690893995597</v>
      </c>
      <c r="U58" s="11">
        <f t="shared" si="38"/>
        <v>5.4995118090659219</v>
      </c>
      <c r="V58" s="11">
        <f t="shared" si="52"/>
        <v>5.4995118090659219</v>
      </c>
      <c r="W58" s="11"/>
      <c r="X58" s="14">
        <f t="shared" si="39"/>
        <v>245.22424154638546</v>
      </c>
      <c r="Y58" s="14">
        <f t="shared" si="40"/>
        <v>-2.5929150859379213</v>
      </c>
      <c r="Z58" s="14">
        <f t="shared" si="41"/>
        <v>9.59845883205101E-2</v>
      </c>
      <c r="AA58" s="14">
        <f>-Main!D58/2*SIN(ABS(Z58))+X58</f>
        <v>245.11402868450034</v>
      </c>
      <c r="AB58" s="14">
        <f>Main!D58/2*COS(ABS(Z58))*SIGN(Z58)+D58</f>
        <v>24.755006567236816</v>
      </c>
      <c r="AC58" s="14">
        <f t="shared" si="42"/>
        <v>0.10065255363119474</v>
      </c>
      <c r="AD58" s="14">
        <f t="shared" si="43"/>
        <v>246.36090884734534</v>
      </c>
      <c r="AE58" s="14">
        <f t="shared" si="48"/>
        <v>75</v>
      </c>
      <c r="AF58" s="14">
        <f t="shared" si="44"/>
        <v>0.30934145378432237</v>
      </c>
      <c r="AG58" s="14">
        <f t="shared" si="45"/>
        <v>17.991414441498584</v>
      </c>
      <c r="AH58" s="14">
        <f>DEGREES(ATAN((Main!S58/2+Main!D58/2)/Main!C58))</f>
        <v>19.599392619279147</v>
      </c>
      <c r="AI58" s="14">
        <f t="shared" si="46"/>
        <v>56</v>
      </c>
      <c r="AJ58" s="21">
        <f>Main!S58*(G58-Main!T58)/G58/25</f>
        <v>1.7276695695243267</v>
      </c>
      <c r="AK58" s="22"/>
      <c r="AL58" s="22"/>
      <c r="AM58" s="22"/>
      <c r="AN58" s="22"/>
      <c r="AO58" s="22"/>
      <c r="AP58" s="22"/>
    </row>
    <row r="59" spans="1:42" ht="15" customHeight="1" x14ac:dyDescent="0.45">
      <c r="A59" s="13">
        <v>57</v>
      </c>
      <c r="B59" s="32">
        <f t="shared" si="49"/>
        <v>-182.273</v>
      </c>
      <c r="C59" s="32">
        <f t="shared" si="49"/>
        <v>-167.65600000000001</v>
      </c>
      <c r="D59" s="32">
        <f t="shared" si="50"/>
        <v>23.597200000000001</v>
      </c>
      <c r="E59" s="11">
        <f t="shared" si="28"/>
        <v>248.77461428538084</v>
      </c>
      <c r="F59" s="11">
        <f t="shared" si="29"/>
        <v>1.3648462157608687</v>
      </c>
      <c r="G59" s="11">
        <f>Main!C59</f>
        <v>74.23489395049215</v>
      </c>
      <c r="H59" s="11">
        <f>E59+G59+Main!T59</f>
        <v>333.009508235873</v>
      </c>
      <c r="I59" s="11">
        <f t="shared" si="30"/>
        <v>-243.99049826300632</v>
      </c>
      <c r="J59" s="11">
        <f t="shared" si="31"/>
        <v>-224.42419325288216</v>
      </c>
      <c r="K59" s="11">
        <f t="shared" si="32"/>
        <v>31.587193855435597</v>
      </c>
      <c r="L59" s="11">
        <f>(H59-Main!T59)/F59*SIGN(B59)</f>
        <v>-236.66366547809417</v>
      </c>
      <c r="M59" s="11">
        <f t="shared" si="21"/>
        <v>-217.68492041824825</v>
      </c>
      <c r="N59" s="11">
        <f t="shared" si="22"/>
        <v>30.63865655922536</v>
      </c>
      <c r="O59" s="11">
        <f t="shared" si="33"/>
        <v>166.5047541179365</v>
      </c>
      <c r="P59" s="11">
        <f t="shared" si="34"/>
        <v>-121.99524913150316</v>
      </c>
      <c r="Q59" s="11">
        <f t="shared" si="35"/>
        <v>-112.21209662644108</v>
      </c>
      <c r="R59" s="11">
        <f t="shared" si="36"/>
        <v>15.793596927717799</v>
      </c>
      <c r="S59" s="11">
        <f t="shared" si="37"/>
        <v>42.608069578213971</v>
      </c>
      <c r="T59" s="11">
        <f t="shared" si="54"/>
        <v>42.608069578213971</v>
      </c>
      <c r="U59" s="11">
        <f t="shared" si="38"/>
        <v>5.4429011203110207</v>
      </c>
      <c r="V59" s="11">
        <f t="shared" si="52"/>
        <v>5.4429011203110207</v>
      </c>
      <c r="W59" s="11"/>
      <c r="X59" s="14">
        <f t="shared" si="39"/>
        <v>247.65294438992646</v>
      </c>
      <c r="Y59" s="14">
        <f t="shared" si="40"/>
        <v>-2.3979415515311278</v>
      </c>
      <c r="Z59" s="14">
        <f t="shared" si="41"/>
        <v>9.4996545409915339E-2</v>
      </c>
      <c r="AA59" s="14">
        <f>-Main!D59/2*SIN(ABS(Z59))+X59</f>
        <v>247.54386260086227</v>
      </c>
      <c r="AB59" s="14">
        <f>Main!D59/2*COS(ABS(Z59))*SIGN(Z59)+D59</f>
        <v>24.742014903508231</v>
      </c>
      <c r="AC59" s="14">
        <f t="shared" si="42"/>
        <v>9.9619170640269109E-2</v>
      </c>
      <c r="AD59" s="14">
        <f t="shared" si="43"/>
        <v>248.77727229962147</v>
      </c>
      <c r="AE59" s="14">
        <f t="shared" si="48"/>
        <v>75</v>
      </c>
      <c r="AF59" s="14">
        <f t="shared" si="44"/>
        <v>0.30623871055974861</v>
      </c>
      <c r="AG59" s="14">
        <f t="shared" si="45"/>
        <v>17.811042554571952</v>
      </c>
      <c r="AH59" s="14">
        <f>DEGREES(ATAN((Main!S59/2+Main!D59/2)/Main!C59))</f>
        <v>19.405333197832174</v>
      </c>
      <c r="AI59" s="14">
        <f t="shared" si="46"/>
        <v>57</v>
      </c>
      <c r="AJ59" s="21">
        <f>Main!S59*(G59-Main!T59)/G59/25</f>
        <v>1.7305849185514004</v>
      </c>
      <c r="AK59" s="22"/>
      <c r="AL59" s="22"/>
      <c r="AM59" s="22"/>
      <c r="AN59" s="22"/>
      <c r="AO59" s="22"/>
      <c r="AP59" s="22"/>
    </row>
    <row r="60" spans="1:42" ht="15" customHeight="1" x14ac:dyDescent="0.45">
      <c r="A60" s="13">
        <v>58</v>
      </c>
      <c r="B60" s="32">
        <f t="shared" si="49"/>
        <v>-147.47300000000001</v>
      </c>
      <c r="C60" s="32">
        <f t="shared" si="49"/>
        <v>-200.839</v>
      </c>
      <c r="D60" s="32">
        <f t="shared" si="50"/>
        <v>23.589200000000002</v>
      </c>
      <c r="E60" s="11">
        <f t="shared" si="28"/>
        <v>250.28192105431827</v>
      </c>
      <c r="F60" s="11">
        <f t="shared" si="29"/>
        <v>1.6971372458302079</v>
      </c>
      <c r="G60" s="11">
        <f>Main!C60</f>
        <v>74.730216836283262</v>
      </c>
      <c r="H60" s="11">
        <f>E60+G60+Main!T60</f>
        <v>335.01213789060154</v>
      </c>
      <c r="I60" s="11">
        <f t="shared" si="30"/>
        <v>-197.3983770102929</v>
      </c>
      <c r="J60" s="11">
        <f t="shared" si="31"/>
        <v>-268.83085473524113</v>
      </c>
      <c r="K60" s="11">
        <f t="shared" si="32"/>
        <v>31.575066588264981</v>
      </c>
      <c r="L60" s="11">
        <f>(H60-Main!T60)/F60*SIGN(B60)</f>
        <v>-191.50610163623605</v>
      </c>
      <c r="M60" s="11">
        <f t="shared" si="21"/>
        <v>-260.80634384951827</v>
      </c>
      <c r="N60" s="11">
        <f t="shared" si="22"/>
        <v>30.632561436449382</v>
      </c>
      <c r="O60" s="11">
        <f t="shared" si="33"/>
        <v>167.50606894530077</v>
      </c>
      <c r="P60" s="11">
        <f t="shared" si="34"/>
        <v>-98.699188505146452</v>
      </c>
      <c r="Q60" s="11">
        <f t="shared" si="35"/>
        <v>-134.41542736762057</v>
      </c>
      <c r="R60" s="11">
        <f t="shared" si="36"/>
        <v>15.787533294132491</v>
      </c>
      <c r="S60" s="11">
        <f t="shared" si="37"/>
        <v>53.710732447177577</v>
      </c>
      <c r="T60" s="11">
        <f t="shared" si="54"/>
        <v>53.710732447177577</v>
      </c>
      <c r="U60" s="11">
        <f t="shared" si="38"/>
        <v>5.4081839422492806</v>
      </c>
      <c r="V60" s="11">
        <f t="shared" si="52"/>
        <v>5.4081839422492806</v>
      </c>
      <c r="W60" s="11"/>
      <c r="X60" s="14">
        <f t="shared" si="39"/>
        <v>249.16779416690272</v>
      </c>
      <c r="Y60" s="14">
        <f t="shared" si="40"/>
        <v>-2.2041635287287931</v>
      </c>
      <c r="Z60" s="14">
        <f t="shared" si="41"/>
        <v>9.439061634573695E-2</v>
      </c>
      <c r="AA60" s="14">
        <f>-Main!D60/2*SIN(ABS(Z60))+X60</f>
        <v>249.05940607444393</v>
      </c>
      <c r="AB60" s="14">
        <f>Main!D60/2*COS(ABS(Z60))*SIGN(Z60)+D60</f>
        <v>24.734080789171145</v>
      </c>
      <c r="AC60" s="14">
        <f t="shared" si="42"/>
        <v>9.8985402506031564E-2</v>
      </c>
      <c r="AD60" s="14">
        <f t="shared" si="43"/>
        <v>250.28456306100864</v>
      </c>
      <c r="AE60" s="14">
        <f t="shared" si="48"/>
        <v>75</v>
      </c>
      <c r="AF60" s="14">
        <f t="shared" si="44"/>
        <v>0.30433511732797985</v>
      </c>
      <c r="AG60" s="14">
        <f t="shared" si="45"/>
        <v>17.700379635261978</v>
      </c>
      <c r="AH60" s="14">
        <f>DEGREES(ATAN((Main!S60/2+Main!D60/2)/Main!C60))</f>
        <v>19.286237626307418</v>
      </c>
      <c r="AI60" s="14">
        <f t="shared" si="46"/>
        <v>58</v>
      </c>
      <c r="AJ60" s="21">
        <f>Main!S60*(G60-Main!T60)/G60/25</f>
        <v>1.7323706413991089</v>
      </c>
      <c r="AK60" s="22"/>
      <c r="AL60" s="22"/>
      <c r="AM60" s="22"/>
      <c r="AN60" s="22"/>
      <c r="AO60" s="22"/>
      <c r="AP60" s="22"/>
    </row>
    <row r="61" spans="1:42" ht="15" customHeight="1" x14ac:dyDescent="0.45">
      <c r="A61" s="13">
        <v>59</v>
      </c>
      <c r="B61" s="32">
        <f t="shared" si="49"/>
        <v>-107.125</v>
      </c>
      <c r="C61" s="32">
        <f t="shared" si="49"/>
        <v>-226.898</v>
      </c>
      <c r="D61" s="32">
        <f t="shared" si="50"/>
        <v>23.580100000000002</v>
      </c>
      <c r="E61" s="11">
        <f t="shared" si="28"/>
        <v>252.02081093633913</v>
      </c>
      <c r="F61" s="11">
        <f t="shared" si="29"/>
        <v>2.3525863331280199</v>
      </c>
      <c r="G61" s="11">
        <f>Main!C61</f>
        <v>75.301270838583804</v>
      </c>
      <c r="H61" s="11">
        <f>E61+G61+Main!T61</f>
        <v>337.32208177492294</v>
      </c>
      <c r="I61" s="11">
        <f t="shared" si="30"/>
        <v>-143.38350819475198</v>
      </c>
      <c r="J61" s="11">
        <f t="shared" si="31"/>
        <v>-303.69597425785611</v>
      </c>
      <c r="K61" s="11">
        <f t="shared" si="32"/>
        <v>31.561236514194366</v>
      </c>
      <c r="L61" s="11">
        <f>(H61-Main!T61)/F61*SIGN(B61)</f>
        <v>-139.13286716229138</v>
      </c>
      <c r="M61" s="11">
        <f t="shared" si="21"/>
        <v>-294.69282887644891</v>
      </c>
      <c r="N61" s="11">
        <f t="shared" si="22"/>
        <v>30.625595528341165</v>
      </c>
      <c r="O61" s="11">
        <f t="shared" si="33"/>
        <v>168.66104088746147</v>
      </c>
      <c r="P61" s="11">
        <f t="shared" si="34"/>
        <v>-71.691754097375991</v>
      </c>
      <c r="Q61" s="11">
        <f t="shared" si="35"/>
        <v>-151.84798712892805</v>
      </c>
      <c r="R61" s="11">
        <f t="shared" si="36"/>
        <v>15.780618257097183</v>
      </c>
      <c r="S61" s="11">
        <f t="shared" si="37"/>
        <v>64.726671254963591</v>
      </c>
      <c r="T61" s="11">
        <f t="shared" si="54"/>
        <v>64.726671254963591</v>
      </c>
      <c r="U61" s="11">
        <f t="shared" si="38"/>
        <v>5.3686806000487906</v>
      </c>
      <c r="V61" s="11">
        <f t="shared" si="52"/>
        <v>5.3686806000487906</v>
      </c>
      <c r="W61" s="11"/>
      <c r="X61" s="14">
        <f t="shared" si="39"/>
        <v>250.91526065387094</v>
      </c>
      <c r="Y61" s="14">
        <f t="shared" si="40"/>
        <v>-2.0118991263347086</v>
      </c>
      <c r="Z61" s="14">
        <f t="shared" si="41"/>
        <v>9.370115295879608E-2</v>
      </c>
      <c r="AA61" s="14">
        <f>-Main!D61/2*SIN(ABS(Z61))+X61</f>
        <v>250.80766194049784</v>
      </c>
      <c r="AB61" s="14">
        <f>Main!D61/2*COS(ABS(Z61))*SIGN(Z61)+D61</f>
        <v>24.725055246671438</v>
      </c>
      <c r="AC61" s="14">
        <f t="shared" si="42"/>
        <v>9.8264236515477638E-2</v>
      </c>
      <c r="AD61" s="14">
        <f t="shared" si="43"/>
        <v>252.02343471393687</v>
      </c>
      <c r="AE61" s="14">
        <f t="shared" si="48"/>
        <v>75</v>
      </c>
      <c r="AF61" s="14">
        <f t="shared" si="44"/>
        <v>0.30216872599023586</v>
      </c>
      <c r="AG61" s="14">
        <f t="shared" si="45"/>
        <v>17.574438129448939</v>
      </c>
      <c r="AH61" s="14">
        <f>DEGREES(ATAN((Main!S61/2+Main!D61/2)/Main!C61))</f>
        <v>19.150667050506762</v>
      </c>
      <c r="AI61" s="14">
        <f t="shared" si="46"/>
        <v>59</v>
      </c>
      <c r="AJ61" s="21">
        <f>Main!S61*(G61-Main!T61)/G61/25</f>
        <v>1.7344002328609818</v>
      </c>
      <c r="AK61" s="22"/>
      <c r="AL61" s="22"/>
      <c r="AM61" s="22"/>
      <c r="AN61" s="22"/>
      <c r="AO61" s="22"/>
      <c r="AP61" s="22"/>
    </row>
    <row r="62" spans="1:42" ht="15" customHeight="1" x14ac:dyDescent="0.45">
      <c r="A62" s="13">
        <v>60</v>
      </c>
      <c r="B62" s="32">
        <f t="shared" si="49"/>
        <v>-63.1068</v>
      </c>
      <c r="C62" s="32">
        <f t="shared" si="49"/>
        <v>-245.785</v>
      </c>
      <c r="D62" s="32">
        <f t="shared" si="50"/>
        <v>23.5656</v>
      </c>
      <c r="E62" s="11">
        <f t="shared" si="28"/>
        <v>254.84911601690911</v>
      </c>
      <c r="F62" s="11">
        <f t="shared" si="29"/>
        <v>4.0383780514446794</v>
      </c>
      <c r="G62" s="11">
        <f>Main!C62</f>
        <v>76.22926480315779</v>
      </c>
      <c r="H62" s="11">
        <f>E62+G62+Main!T62</f>
        <v>341.07838082006691</v>
      </c>
      <c r="I62" s="11">
        <f t="shared" si="30"/>
        <v>-84.459249846123342</v>
      </c>
      <c r="J62" s="11">
        <f t="shared" si="31"/>
        <v>-328.94738322065808</v>
      </c>
      <c r="K62" s="11">
        <f t="shared" si="32"/>
        <v>31.539119368654475</v>
      </c>
      <c r="L62" s="11">
        <f>(H62-Main!T62)/F62*SIGN(B62)</f>
        <v>-81.983008178649285</v>
      </c>
      <c r="M62" s="11">
        <f t="shared" si="21"/>
        <v>-319.30304919896611</v>
      </c>
      <c r="N62" s="11">
        <f t="shared" si="22"/>
        <v>30.614431052355336</v>
      </c>
      <c r="O62" s="11">
        <f t="shared" si="33"/>
        <v>170.53919041003346</v>
      </c>
      <c r="P62" s="11">
        <f t="shared" si="34"/>
        <v>-42.229624923061671</v>
      </c>
      <c r="Q62" s="11">
        <f t="shared" si="35"/>
        <v>-164.47369161032904</v>
      </c>
      <c r="R62" s="11">
        <f t="shared" si="36"/>
        <v>15.769559684327238</v>
      </c>
      <c r="S62" s="11">
        <f t="shared" si="37"/>
        <v>75.600013566373519</v>
      </c>
      <c r="T62" s="11">
        <f t="shared" si="54"/>
        <v>75.600013566373519</v>
      </c>
      <c r="U62" s="11">
        <f t="shared" si="38"/>
        <v>5.3056531718539901</v>
      </c>
      <c r="V62" s="11">
        <f t="shared" si="52"/>
        <v>5.3056531718539901</v>
      </c>
      <c r="W62" s="11"/>
      <c r="X62" s="14">
        <f t="shared" si="39"/>
        <v>253.75723522934277</v>
      </c>
      <c r="Y62" s="14">
        <f t="shared" si="40"/>
        <v>-1.8221235023041946</v>
      </c>
      <c r="Z62" s="14">
        <f t="shared" si="41"/>
        <v>9.2601116817732698E-2</v>
      </c>
      <c r="AA62" s="14">
        <f>-Main!D62/2*SIN(ABS(Z62))+X62</f>
        <v>253.65089607296838</v>
      </c>
      <c r="AB62" s="14">
        <f>Main!D62/2*COS(ABS(Z62))*SIGN(Z62)+D62</f>
        <v>24.710672916377632</v>
      </c>
      <c r="AC62" s="14">
        <f t="shared" si="42"/>
        <v>9.7113560150768399E-2</v>
      </c>
      <c r="AD62" s="14">
        <f t="shared" si="43"/>
        <v>254.85171067622835</v>
      </c>
      <c r="AE62" s="14">
        <f t="shared" si="48"/>
        <v>75</v>
      </c>
      <c r="AF62" s="14">
        <f t="shared" si="44"/>
        <v>0.2987112627352036</v>
      </c>
      <c r="AG62" s="14">
        <f t="shared" si="45"/>
        <v>17.37343860602552</v>
      </c>
      <c r="AH62" s="14">
        <f>DEGREES(ATAN((Main!S62/2+Main!D62/2)/Main!C62))</f>
        <v>18.93422929203286</v>
      </c>
      <c r="AI62" s="14">
        <f t="shared" si="46"/>
        <v>60</v>
      </c>
      <c r="AJ62" s="21">
        <f>Main!S62*(G62-Main!T62)/G62/25</f>
        <v>1.7376335708911168</v>
      </c>
      <c r="AK62" s="22"/>
      <c r="AL62" s="22"/>
      <c r="AM62" s="22"/>
      <c r="AN62" s="22"/>
      <c r="AO62" s="22"/>
      <c r="AP62" s="22"/>
    </row>
    <row r="63" spans="1:42" ht="15" customHeight="1" x14ac:dyDescent="0.45">
      <c r="A63" s="13">
        <v>61</v>
      </c>
      <c r="B63" s="32">
        <f t="shared" ref="B63:C82" si="55">B43</f>
        <v>277.00200000000001</v>
      </c>
      <c r="C63" s="32">
        <f t="shared" si="55"/>
        <v>70.37124</v>
      </c>
      <c r="D63" s="32">
        <f t="shared" ref="D63:D82" si="56">-D3</f>
        <v>70.036299999999997</v>
      </c>
      <c r="E63" s="11">
        <f t="shared" si="28"/>
        <v>294.25720507886905</v>
      </c>
      <c r="F63" s="11">
        <f t="shared" si="29"/>
        <v>1.0622927093626366</v>
      </c>
      <c r="G63" s="11">
        <f>Main!C63</f>
        <v>89.070206162964965</v>
      </c>
      <c r="H63" s="11">
        <f>E63+G63+Main!T63</f>
        <v>393.327411241834</v>
      </c>
      <c r="I63" s="11">
        <f t="shared" si="30"/>
        <v>370.26274187443676</v>
      </c>
      <c r="J63" s="11">
        <f t="shared" si="31"/>
        <v>94.063755032469217</v>
      </c>
      <c r="K63" s="11">
        <f t="shared" si="32"/>
        <v>93.616047785722174</v>
      </c>
      <c r="L63" s="11">
        <f>(H63-Main!T63)/F63*SIGN(B63)</f>
        <v>360.84914060252379</v>
      </c>
      <c r="M63" s="11">
        <f t="shared" si="21"/>
        <v>91.672267626710081</v>
      </c>
      <c r="N63" s="11">
        <f t="shared" si="22"/>
        <v>91.235942938969885</v>
      </c>
      <c r="O63" s="11">
        <f t="shared" si="33"/>
        <v>196.663705620917</v>
      </c>
      <c r="P63" s="11">
        <f t="shared" si="34"/>
        <v>185.13137093721838</v>
      </c>
      <c r="Q63" s="11">
        <f t="shared" si="35"/>
        <v>47.031877516234609</v>
      </c>
      <c r="R63" s="11">
        <f t="shared" si="36"/>
        <v>46.808023892861087</v>
      </c>
      <c r="S63" s="11">
        <f t="shared" si="37"/>
        <v>14.254215271792646</v>
      </c>
      <c r="T63" s="11">
        <f t="shared" ref="T63:T69" si="57">S63+180</f>
        <v>194.25421527179265</v>
      </c>
      <c r="U63" s="11">
        <f t="shared" si="38"/>
        <v>13.7691472530895</v>
      </c>
      <c r="V63" s="11">
        <f t="shared" si="52"/>
        <v>13.7691472530895</v>
      </c>
      <c r="W63" s="11"/>
      <c r="X63" s="14">
        <f t="shared" si="39"/>
        <v>285.80101368458719</v>
      </c>
      <c r="Y63" s="14">
        <f t="shared" si="40"/>
        <v>0.24878298878084007</v>
      </c>
      <c r="Z63" s="14">
        <f t="shared" si="41"/>
        <v>0.24031695475834478</v>
      </c>
      <c r="AA63" s="14">
        <f>-Main!D63/2*SIN(ABS(Z63))+X63</f>
        <v>285.5273016272107</v>
      </c>
      <c r="AB63" s="14">
        <f>Main!D63/2*COS(ABS(Z63))*SIGN(Z63)+D63</f>
        <v>71.153251972846959</v>
      </c>
      <c r="AC63" s="14">
        <f t="shared" si="42"/>
        <v>0.24422508045696498</v>
      </c>
      <c r="AD63" s="14">
        <f t="shared" si="43"/>
        <v>294.25945225400596</v>
      </c>
      <c r="AE63" s="14">
        <f t="shared" si="48"/>
        <v>75</v>
      </c>
      <c r="AF63" s="14">
        <f t="shared" si="44"/>
        <v>0.25772061811014635</v>
      </c>
      <c r="AG63" s="14">
        <f t="shared" si="45"/>
        <v>14.990222819551791</v>
      </c>
      <c r="AH63" s="14">
        <f>DEGREES(ATAN((Main!S63/2+Main!D63/2)/Main!C63))</f>
        <v>16.361639265585648</v>
      </c>
      <c r="AI63" s="14">
        <f t="shared" si="46"/>
        <v>61</v>
      </c>
      <c r="AJ63" s="21">
        <f>Main!S63*(G63-Main!T63)/G63/25</f>
        <v>1.7754580250616292</v>
      </c>
      <c r="AK63" s="22"/>
      <c r="AL63" s="22"/>
      <c r="AM63" s="22"/>
      <c r="AN63" s="22"/>
      <c r="AO63" s="22"/>
      <c r="AP63" s="22"/>
    </row>
    <row r="64" spans="1:42" ht="15" customHeight="1" x14ac:dyDescent="0.45">
      <c r="A64" s="13">
        <v>62</v>
      </c>
      <c r="B64" s="32">
        <f t="shared" si="55"/>
        <v>242.88310000000001</v>
      </c>
      <c r="C64" s="32">
        <f t="shared" si="55"/>
        <v>107.2608</v>
      </c>
      <c r="D64" s="32">
        <f t="shared" si="56"/>
        <v>70.260199999999998</v>
      </c>
      <c r="E64" s="11">
        <f t="shared" si="28"/>
        <v>274.65173435878756</v>
      </c>
      <c r="F64" s="11">
        <f t="shared" si="29"/>
        <v>1.1307980438276173</v>
      </c>
      <c r="G64" s="11">
        <f>Main!C64</f>
        <v>82.700811490358959</v>
      </c>
      <c r="H64" s="11">
        <f>E64+G64+Main!T64</f>
        <v>367.35254584914651</v>
      </c>
      <c r="I64" s="11">
        <f t="shared" si="30"/>
        <v>324.86132059947829</v>
      </c>
      <c r="J64" s="11">
        <f t="shared" si="31"/>
        <v>143.46360506991437</v>
      </c>
      <c r="K64" s="11">
        <f t="shared" si="32"/>
        <v>93.974514314019629</v>
      </c>
      <c r="L64" s="11">
        <f>(H64-Main!T64)/F64*SIGN(B64)</f>
        <v>316.01800852038133</v>
      </c>
      <c r="M64" s="11">
        <f t="shared" si="21"/>
        <v>139.55826654181752</v>
      </c>
      <c r="N64" s="11">
        <f t="shared" si="22"/>
        <v>91.41635824906588</v>
      </c>
      <c r="O64" s="11">
        <f t="shared" si="33"/>
        <v>183.67627292457325</v>
      </c>
      <c r="P64" s="11">
        <f t="shared" si="34"/>
        <v>162.43066029973915</v>
      </c>
      <c r="Q64" s="11">
        <f t="shared" si="35"/>
        <v>71.731802534957183</v>
      </c>
      <c r="R64" s="11">
        <f t="shared" si="36"/>
        <v>46.987257157009815</v>
      </c>
      <c r="S64" s="11">
        <f t="shared" si="37"/>
        <v>23.826968362455574</v>
      </c>
      <c r="T64" s="11">
        <f t="shared" si="57"/>
        <v>203.82696836245557</v>
      </c>
      <c r="U64" s="11">
        <f t="shared" si="38"/>
        <v>14.821919032253746</v>
      </c>
      <c r="V64" s="11">
        <f t="shared" si="52"/>
        <v>14.821919032253746</v>
      </c>
      <c r="W64" s="11"/>
      <c r="X64" s="14">
        <f t="shared" si="39"/>
        <v>265.51286123698418</v>
      </c>
      <c r="Y64" s="14">
        <f t="shared" si="40"/>
        <v>0.41585904869337142</v>
      </c>
      <c r="Z64" s="14">
        <f t="shared" si="41"/>
        <v>0.25869128857683948</v>
      </c>
      <c r="AA64" s="14">
        <f>-Main!D64/2*SIN(ABS(Z64))+X64</f>
        <v>265.21867328951447</v>
      </c>
      <c r="AB64" s="14">
        <f>Main!D64/2*COS(ABS(Z64))*SIGN(Z64)+D64</f>
        <v>71.37193443392006</v>
      </c>
      <c r="AC64" s="14">
        <f t="shared" si="42"/>
        <v>0.26287838494512866</v>
      </c>
      <c r="AD64" s="14">
        <f t="shared" si="43"/>
        <v>274.65414194271676</v>
      </c>
      <c r="AE64" s="14">
        <f t="shared" si="48"/>
        <v>75</v>
      </c>
      <c r="AF64" s="14">
        <f t="shared" si="44"/>
        <v>0.27658361247905089</v>
      </c>
      <c r="AG64" s="14">
        <f t="shared" si="45"/>
        <v>16.08697662784903</v>
      </c>
      <c r="AH64" s="14">
        <f>DEGREES(ATAN((Main!S64/2+Main!D64/2)/Main!C64))</f>
        <v>17.546956497413191</v>
      </c>
      <c r="AI64" s="14">
        <f t="shared" si="46"/>
        <v>62</v>
      </c>
      <c r="AJ64" s="21">
        <f>Main!S64*(G64-Main!T64)/G64/25</f>
        <v>1.7581644044408011</v>
      </c>
      <c r="AK64" s="22"/>
      <c r="AL64" s="22"/>
      <c r="AM64" s="22"/>
      <c r="AN64" s="22"/>
      <c r="AO64" s="22"/>
      <c r="AP64" s="22"/>
    </row>
    <row r="65" spans="1:42" ht="15" customHeight="1" x14ac:dyDescent="0.45">
      <c r="A65" s="13">
        <v>63</v>
      </c>
      <c r="B65" s="32">
        <f t="shared" si="55"/>
        <v>201.33260000000001</v>
      </c>
      <c r="C65" s="32">
        <f t="shared" si="55"/>
        <v>136.87</v>
      </c>
      <c r="D65" s="32">
        <f t="shared" si="56"/>
        <v>70.551900000000003</v>
      </c>
      <c r="E65" s="11">
        <f t="shared" si="28"/>
        <v>253.46751925319742</v>
      </c>
      <c r="F65" s="11">
        <f t="shared" si="29"/>
        <v>1.2589492176289256</v>
      </c>
      <c r="G65" s="11">
        <f>Main!C65</f>
        <v>75.776075670588156</v>
      </c>
      <c r="H65" s="11">
        <f>E65+G65+Main!T65</f>
        <v>339.24359492378557</v>
      </c>
      <c r="I65" s="11">
        <f t="shared" si="30"/>
        <v>269.46567039670487</v>
      </c>
      <c r="J65" s="11">
        <f t="shared" si="31"/>
        <v>183.18824823797533</v>
      </c>
      <c r="K65" s="11">
        <f t="shared" si="32"/>
        <v>94.427405354429837</v>
      </c>
      <c r="L65" s="11">
        <f>(H65-Main!T65)/F65*SIGN(B65)</f>
        <v>261.52253825128463</v>
      </c>
      <c r="M65" s="11">
        <f t="shared" si="21"/>
        <v>177.78834530748287</v>
      </c>
      <c r="N65" s="11">
        <f t="shared" si="22"/>
        <v>91.643936284788495</v>
      </c>
      <c r="O65" s="11">
        <f t="shared" si="33"/>
        <v>169.62179746189278</v>
      </c>
      <c r="P65" s="11">
        <f t="shared" si="34"/>
        <v>134.73283519835243</v>
      </c>
      <c r="Q65" s="11">
        <f t="shared" si="35"/>
        <v>91.594124118987665</v>
      </c>
      <c r="R65" s="11">
        <f t="shared" si="36"/>
        <v>47.213702677214918</v>
      </c>
      <c r="S65" s="11">
        <f t="shared" si="37"/>
        <v>34.208663259544267</v>
      </c>
      <c r="T65" s="11">
        <f t="shared" si="57"/>
        <v>214.20866325954427</v>
      </c>
      <c r="U65" s="11">
        <f t="shared" si="38"/>
        <v>16.16156770017561</v>
      </c>
      <c r="V65" s="11">
        <f t="shared" si="52"/>
        <v>16.16156770017561</v>
      </c>
      <c r="W65" s="11"/>
      <c r="X65" s="14">
        <f t="shared" si="39"/>
        <v>243.45063713771628</v>
      </c>
      <c r="Y65" s="14">
        <f t="shared" si="40"/>
        <v>0.59705380658506302</v>
      </c>
      <c r="Z65" s="14">
        <f t="shared" si="41"/>
        <v>0.28207256865203217</v>
      </c>
      <c r="AA65" s="14">
        <f>-Main!D65/2*SIN(ABS(Z65))+X65</f>
        <v>243.13053819470753</v>
      </c>
      <c r="AB65" s="14">
        <f>Main!D65/2*COS(ABS(Z65))*SIGN(Z65)+D65</f>
        <v>71.656452699822282</v>
      </c>
      <c r="AC65" s="14">
        <f t="shared" si="42"/>
        <v>0.28660960800352697</v>
      </c>
      <c r="AD65" s="14">
        <f t="shared" si="43"/>
        <v>253.47012805529965</v>
      </c>
      <c r="AE65" s="14">
        <f t="shared" si="48"/>
        <v>75</v>
      </c>
      <c r="AF65" s="14">
        <f t="shared" si="44"/>
        <v>0.30039009442139514</v>
      </c>
      <c r="AG65" s="14">
        <f t="shared" si="45"/>
        <v>17.471037824207659</v>
      </c>
      <c r="AH65" s="14">
        <f>DEGREES(ATAN((Main!S65/2+Main!D65/2)/Main!C65))</f>
        <v>19.039335630153449</v>
      </c>
      <c r="AI65" s="14">
        <f t="shared" si="46"/>
        <v>63</v>
      </c>
      <c r="AJ65" s="21">
        <f>Main!S65*(G65-Main!T65)/G65/25</f>
        <v>1.7360644527575761</v>
      </c>
      <c r="AK65" s="22"/>
      <c r="AL65" s="22"/>
      <c r="AM65" s="22"/>
      <c r="AN65" s="22"/>
      <c r="AO65" s="22"/>
      <c r="AP65" s="22"/>
    </row>
    <row r="66" spans="1:42" ht="15" customHeight="1" x14ac:dyDescent="0.45">
      <c r="A66" s="13">
        <v>64</v>
      </c>
      <c r="B66" s="32">
        <f t="shared" si="55"/>
        <v>155.0181</v>
      </c>
      <c r="C66" s="32">
        <f t="shared" si="55"/>
        <v>158.44730000000001</v>
      </c>
      <c r="D66" s="32">
        <f t="shared" si="56"/>
        <v>70.905600000000007</v>
      </c>
      <c r="E66" s="11">
        <f t="shared" si="28"/>
        <v>232.73109443359735</v>
      </c>
      <c r="F66" s="11">
        <f t="shared" si="29"/>
        <v>1.5013156169092341</v>
      </c>
      <c r="G66" s="11">
        <f>Main!C66</f>
        <v>68.942582316349998</v>
      </c>
      <c r="H66" s="11">
        <f>E66+G66+Main!T66</f>
        <v>311.67367674994733</v>
      </c>
      <c r="I66" s="11">
        <f t="shared" si="30"/>
        <v>207.60036946234629</v>
      </c>
      <c r="J66" s="11">
        <f t="shared" si="31"/>
        <v>212.19275697683833</v>
      </c>
      <c r="K66" s="11">
        <f t="shared" si="32"/>
        <v>94.956838955898334</v>
      </c>
      <c r="L66" s="11">
        <f>(H66-Main!T66)/F66*SIGN(B66)</f>
        <v>200.9395448579989</v>
      </c>
      <c r="M66" s="11">
        <f t="shared" si="21"/>
        <v>205.38458635461802</v>
      </c>
      <c r="N66" s="11">
        <f t="shared" si="22"/>
        <v>91.910163986549492</v>
      </c>
      <c r="O66" s="11">
        <f t="shared" si="33"/>
        <v>155.83683837497367</v>
      </c>
      <c r="P66" s="11">
        <f t="shared" si="34"/>
        <v>103.80018473117315</v>
      </c>
      <c r="Q66" s="11">
        <f t="shared" si="35"/>
        <v>106.09637848841916</v>
      </c>
      <c r="R66" s="11">
        <f t="shared" si="36"/>
        <v>47.478419477949167</v>
      </c>
      <c r="S66" s="11">
        <f t="shared" si="37"/>
        <v>45.626770449794734</v>
      </c>
      <c r="T66" s="11">
        <f t="shared" si="57"/>
        <v>225.62677044979472</v>
      </c>
      <c r="U66" s="11">
        <f t="shared" si="38"/>
        <v>17.738160850228653</v>
      </c>
      <c r="V66" s="11">
        <f t="shared" si="52"/>
        <v>17.738160850228653</v>
      </c>
      <c r="W66" s="11"/>
      <c r="X66" s="14">
        <f t="shared" si="39"/>
        <v>221.66677289323272</v>
      </c>
      <c r="Y66" s="14">
        <f t="shared" si="40"/>
        <v>0.79633737140057215</v>
      </c>
      <c r="Z66" s="14">
        <f t="shared" si="41"/>
        <v>0.3095893100848468</v>
      </c>
      <c r="AA66" s="14">
        <f>-Main!D66/2*SIN(ABS(Z66))+X66</f>
        <v>221.31640527175759</v>
      </c>
      <c r="AB66" s="14">
        <f>Main!D66/2*COS(ABS(Z66))*SIGN(Z66)+D66</f>
        <v>72.00092759018564</v>
      </c>
      <c r="AC66" s="14">
        <f t="shared" si="42"/>
        <v>0.31453059497504698</v>
      </c>
      <c r="AD66" s="14">
        <f t="shared" si="43"/>
        <v>232.73393567819025</v>
      </c>
      <c r="AE66" s="14">
        <f t="shared" si="48"/>
        <v>75</v>
      </c>
      <c r="AF66" s="14">
        <f t="shared" si="44"/>
        <v>0.32811207908216627</v>
      </c>
      <c r="AG66" s="14">
        <f t="shared" si="45"/>
        <v>19.082552108251065</v>
      </c>
      <c r="AH66" s="14">
        <f>DEGREES(ATAN((Main!S66/2+Main!D66/2)/Main!C66))</f>
        <v>20.771793569984617</v>
      </c>
      <c r="AI66" s="14">
        <f t="shared" si="46"/>
        <v>64</v>
      </c>
      <c r="AJ66" s="21">
        <f>Main!S66*(G66-Main!T66)/G66/25</f>
        <v>1.7099035265573896</v>
      </c>
      <c r="AK66" s="22"/>
      <c r="AL66" s="22"/>
      <c r="AM66" s="22"/>
      <c r="AN66" s="22"/>
      <c r="AO66" s="22"/>
      <c r="AP66" s="22"/>
    </row>
    <row r="67" spans="1:42" ht="15" customHeight="1" x14ac:dyDescent="0.45">
      <c r="A67" s="13">
        <v>65</v>
      </c>
      <c r="B67" s="32">
        <f t="shared" si="55"/>
        <v>106.2709</v>
      </c>
      <c r="C67" s="32">
        <f t="shared" si="55"/>
        <v>171.95910000000001</v>
      </c>
      <c r="D67" s="32">
        <f t="shared" si="56"/>
        <v>71.354200000000006</v>
      </c>
      <c r="E67" s="11">
        <f t="shared" ref="E67:E98" si="58">SQRT((B67^2)+(C67^2)+(D67^2))</f>
        <v>214.37084250723092</v>
      </c>
      <c r="F67" s="11">
        <f t="shared" ref="F67:F82" si="59">SQRT((1)+((C67/B67)^2)+(D67/B67)^2)</f>
        <v>2.0172111321841717</v>
      </c>
      <c r="G67" s="11">
        <f>Main!C67</f>
        <v>62.832246190843783</v>
      </c>
      <c r="H67" s="11">
        <f>E67+G67+Main!T67</f>
        <v>287.20308869807468</v>
      </c>
      <c r="I67" s="11">
        <f t="shared" ref="I67:I98" si="60">H67/F67*SIGN(B67)</f>
        <v>142.37631555557616</v>
      </c>
      <c r="J67" s="11">
        <f t="shared" ref="J67:J98" si="61">I67*C67/B67</f>
        <v>230.38200565020978</v>
      </c>
      <c r="K67" s="11">
        <f t="shared" ref="K67:K82" si="62">I67*D67/B67</f>
        <v>95.596707051654704</v>
      </c>
      <c r="L67" s="11">
        <f>(H67-Main!T67)/F67*SIGN(B67)</f>
        <v>137.41897626646946</v>
      </c>
      <c r="M67" s="11">
        <f t="shared" si="21"/>
        <v>222.360434340007</v>
      </c>
      <c r="N67" s="11">
        <f t="shared" si="22"/>
        <v>92.26816669768408</v>
      </c>
      <c r="O67" s="11">
        <f t="shared" ref="O67:O82" si="63">(H67)/2</f>
        <v>143.60154434903734</v>
      </c>
      <c r="P67" s="11">
        <f t="shared" ref="P67:P98" si="64">O67/F67*SIGN(B67)</f>
        <v>71.188157777788078</v>
      </c>
      <c r="Q67" s="11">
        <f t="shared" ref="Q67:Q98" si="65">P67*C67/B67</f>
        <v>115.19100282510489</v>
      </c>
      <c r="R67" s="11">
        <f t="shared" ref="R67:R82" si="66">P67*D67/B67</f>
        <v>47.798353525827352</v>
      </c>
      <c r="S67" s="11">
        <f t="shared" ref="S67:S82" si="67">DEGREES(ATAN((ABS(C67))/(ABS(B67))))</f>
        <v>58.283892287086502</v>
      </c>
      <c r="T67" s="11">
        <f t="shared" si="57"/>
        <v>238.2838922870865</v>
      </c>
      <c r="U67" s="11">
        <f t="shared" ref="U67:U82" si="68">90-DEGREES(ACOS(ABS(D67/E67)))</f>
        <v>19.442095667132492</v>
      </c>
      <c r="V67" s="11">
        <f t="shared" si="52"/>
        <v>19.442095667132492</v>
      </c>
      <c r="W67" s="11"/>
      <c r="X67" s="14">
        <f t="shared" ref="X67:X82" si="69">SQRT(SUMSQ(B67,C67))</f>
        <v>202.14706591889976</v>
      </c>
      <c r="Y67" s="14">
        <f t="shared" ref="Y67:Y82" si="70">(ATAN2(B67,C67))</f>
        <v>1.0172458212873876</v>
      </c>
      <c r="Z67" s="14">
        <f t="shared" ref="Z67:Z82" si="71">(ATAN2(X67,D67))</f>
        <v>0.33932858287918538</v>
      </c>
      <c r="AA67" s="14">
        <f>-Main!D67/2*SIN(ABS(Z67))+X67</f>
        <v>201.76428377819315</v>
      </c>
      <c r="AB67" s="14">
        <f>Main!D67/2*COS(ABS(Z67))*SIGN(Z67)+D67</f>
        <v>72.438625116251032</v>
      </c>
      <c r="AC67" s="14">
        <f t="shared" ref="AC67:AC98" si="72">ATAN2(AA67,AB67)</f>
        <v>0.34469306694372176</v>
      </c>
      <c r="AD67" s="14">
        <f t="shared" ref="AD67:AD82" si="73">SQRT(SUMSQ(AA67,AB67))</f>
        <v>214.37392709296532</v>
      </c>
      <c r="AE67" s="14">
        <f t="shared" si="48"/>
        <v>75</v>
      </c>
      <c r="AF67" s="14">
        <f t="shared" ref="AF67:AF98" si="74">(ASIN(AE67/AD67))</f>
        <v>0.35741736194181523</v>
      </c>
      <c r="AG67" s="14">
        <f t="shared" ref="AG67:AG98" si="75">DEGREES(AF67+ABS(AC67-Z67))</f>
        <v>20.785868660128905</v>
      </c>
      <c r="AH67" s="14">
        <f>DEGREES(ATAN((Main!S67/2+Main!D67/2)/Main!C67))</f>
        <v>22.596471545226422</v>
      </c>
      <c r="AI67" s="14">
        <f t="shared" ref="AI67:AI82" si="76">A67</f>
        <v>65</v>
      </c>
      <c r="AJ67" s="21">
        <f>Main!S67*(G67-Main!T67)/G67/25</f>
        <v>1.6816921053681111</v>
      </c>
      <c r="AK67" s="22"/>
      <c r="AL67" s="22"/>
      <c r="AM67" s="22"/>
      <c r="AN67" s="22"/>
      <c r="AO67" s="22"/>
      <c r="AP67" s="22"/>
    </row>
    <row r="68" spans="1:42" ht="15" customHeight="1" x14ac:dyDescent="0.45">
      <c r="A68" s="13">
        <v>66</v>
      </c>
      <c r="B68" s="32">
        <f t="shared" si="55"/>
        <v>56.740560000000002</v>
      </c>
      <c r="C68" s="32">
        <f t="shared" si="55"/>
        <v>177.77029999999999</v>
      </c>
      <c r="D68" s="32">
        <f t="shared" si="56"/>
        <v>71.789500000000004</v>
      </c>
      <c r="E68" s="11">
        <f t="shared" si="58"/>
        <v>199.93874817416858</v>
      </c>
      <c r="F68" s="11">
        <f t="shared" si="59"/>
        <v>3.5237358985207159</v>
      </c>
      <c r="G68" s="11">
        <f>Main!C68</f>
        <v>57.977630449821568</v>
      </c>
      <c r="H68" s="11">
        <f>E68+G68+Main!T68</f>
        <v>267.91637862399017</v>
      </c>
      <c r="I68" s="11">
        <f t="shared" si="60"/>
        <v>76.031912248719593</v>
      </c>
      <c r="J68" s="11">
        <f t="shared" si="61"/>
        <v>238.21082925562519</v>
      </c>
      <c r="K68" s="11">
        <f t="shared" si="62"/>
        <v>96.197375640625594</v>
      </c>
      <c r="L68" s="11">
        <f>(H68-Main!T68)/F68*SIGN(B68)</f>
        <v>73.194015116815336</v>
      </c>
      <c r="M68" s="11">
        <f t="shared" ref="M68:M82" si="77">L68*C68/B68</f>
        <v>229.31959123281118</v>
      </c>
      <c r="N68" s="11">
        <f t="shared" ref="N68:N82" si="78">L68*D68/B68</f>
        <v>92.606800994361265</v>
      </c>
      <c r="O68" s="11">
        <f t="shared" si="63"/>
        <v>133.95818931199508</v>
      </c>
      <c r="P68" s="11">
        <f t="shared" si="64"/>
        <v>38.015956124359796</v>
      </c>
      <c r="Q68" s="11">
        <f t="shared" si="65"/>
        <v>119.10541462781259</v>
      </c>
      <c r="R68" s="11">
        <f t="shared" si="66"/>
        <v>48.098687820312797</v>
      </c>
      <c r="S68" s="11">
        <f t="shared" si="67"/>
        <v>72.29800500153047</v>
      </c>
      <c r="T68" s="11">
        <f t="shared" si="57"/>
        <v>252.29800500153047</v>
      </c>
      <c r="U68" s="11">
        <f t="shared" si="68"/>
        <v>21.042322984019791</v>
      </c>
      <c r="V68" s="11">
        <f t="shared" si="52"/>
        <v>21.042322984019791</v>
      </c>
      <c r="W68" s="11"/>
      <c r="X68" s="14">
        <f t="shared" si="69"/>
        <v>186.60592356943977</v>
      </c>
      <c r="Y68" s="14">
        <f t="shared" si="70"/>
        <v>1.2618382299000346</v>
      </c>
      <c r="Z68" s="14">
        <f t="shared" si="71"/>
        <v>0.36725781833922355</v>
      </c>
      <c r="AA68" s="14">
        <f>-Main!D68/2*SIN(ABS(Z68))+X68</f>
        <v>186.19300748511938</v>
      </c>
      <c r="AB68" s="14">
        <f>Main!D68/2*COS(ABS(Z68))*SIGN(Z68)+D68</f>
        <v>72.862812772359263</v>
      </c>
      <c r="AC68" s="14">
        <f t="shared" si="72"/>
        <v>0.37300951644190961</v>
      </c>
      <c r="AD68" s="14">
        <f t="shared" si="73"/>
        <v>199.94205540969514</v>
      </c>
      <c r="AE68" s="14">
        <f t="shared" ref="AE68:AE82" si="79">AE67</f>
        <v>75</v>
      </c>
      <c r="AF68" s="14">
        <f t="shared" si="74"/>
        <v>0.38451400994523605</v>
      </c>
      <c r="AG68" s="14">
        <f t="shared" si="75"/>
        <v>22.360577959830703</v>
      </c>
      <c r="AH68" s="14">
        <f>DEGREES(ATAN((Main!S68/2+Main!D68/2)/Main!C68))</f>
        <v>24.277089902576147</v>
      </c>
      <c r="AI68" s="14">
        <f t="shared" si="76"/>
        <v>66</v>
      </c>
      <c r="AJ68" s="21">
        <f>Main!S68*(G68-Main!T68)/G68/25</f>
        <v>1.6550393687215352</v>
      </c>
      <c r="AK68" s="22"/>
      <c r="AL68" s="22"/>
      <c r="AM68" s="22"/>
      <c r="AN68" s="22"/>
      <c r="AO68" s="22"/>
      <c r="AP68" s="22"/>
    </row>
    <row r="69" spans="1:42" ht="15" customHeight="1" x14ac:dyDescent="0.45">
      <c r="A69" s="13">
        <v>67</v>
      </c>
      <c r="B69" s="32">
        <f t="shared" si="55"/>
        <v>7.3514189999999999</v>
      </c>
      <c r="C69" s="32">
        <f t="shared" si="55"/>
        <v>176.24610000000001</v>
      </c>
      <c r="D69" s="32">
        <f t="shared" si="56"/>
        <v>72.124099999999999</v>
      </c>
      <c r="E69" s="11">
        <f t="shared" si="58"/>
        <v>190.57443933364613</v>
      </c>
      <c r="F69" s="11">
        <f t="shared" si="59"/>
        <v>25.923490326649333</v>
      </c>
      <c r="G69" s="11">
        <f>Main!C69</f>
        <v>54.797151179694914</v>
      </c>
      <c r="H69" s="11">
        <f>E69+G69+Main!T69</f>
        <v>255.37159051334103</v>
      </c>
      <c r="I69" s="11">
        <f t="shared" si="60"/>
        <v>9.8509725077729673</v>
      </c>
      <c r="J69" s="11">
        <f t="shared" si="61"/>
        <v>236.17147733005089</v>
      </c>
      <c r="K69" s="11">
        <f t="shared" si="62"/>
        <v>96.646991043207876</v>
      </c>
      <c r="L69" s="11">
        <f>(H69-Main!T69)/F69*SIGN(B69)</f>
        <v>9.4652219829017081</v>
      </c>
      <c r="M69" s="11">
        <f t="shared" si="77"/>
        <v>226.92332733594603</v>
      </c>
      <c r="N69" s="11">
        <f t="shared" si="78"/>
        <v>92.862427895485354</v>
      </c>
      <c r="O69" s="11">
        <f t="shared" si="63"/>
        <v>127.68579525667052</v>
      </c>
      <c r="P69" s="11">
        <f t="shared" si="64"/>
        <v>4.9254862538864836</v>
      </c>
      <c r="Q69" s="11">
        <f t="shared" si="65"/>
        <v>118.08573866502545</v>
      </c>
      <c r="R69" s="11">
        <f t="shared" si="66"/>
        <v>48.323495521603938</v>
      </c>
      <c r="S69" s="11">
        <f t="shared" si="67"/>
        <v>87.611514447242925</v>
      </c>
      <c r="T69" s="11">
        <f t="shared" si="57"/>
        <v>267.61151444724294</v>
      </c>
      <c r="U69" s="11">
        <f t="shared" si="68"/>
        <v>22.238095974166399</v>
      </c>
      <c r="V69" s="11">
        <f t="shared" si="52"/>
        <v>22.238095974166399</v>
      </c>
      <c r="W69" s="11"/>
      <c r="X69" s="14">
        <f t="shared" si="69"/>
        <v>176.39935126446346</v>
      </c>
      <c r="Y69" s="14">
        <f t="shared" si="70"/>
        <v>1.5291093897629688</v>
      </c>
      <c r="Z69" s="14">
        <f t="shared" si="71"/>
        <v>0.38812799412369953</v>
      </c>
      <c r="AA69" s="14">
        <f>-Main!D69/2*SIN(ABS(Z69))+X69</f>
        <v>175.96412650247538</v>
      </c>
      <c r="AB69" s="14">
        <f>Main!D69/2*COS(ABS(Z69))*SIGN(Z69)+D69</f>
        <v>73.188562026825011</v>
      </c>
      <c r="AC69" s="14">
        <f t="shared" si="72"/>
        <v>0.39416230830397736</v>
      </c>
      <c r="AD69" s="14">
        <f t="shared" si="73"/>
        <v>190.57790907482843</v>
      </c>
      <c r="AE69" s="14">
        <f t="shared" si="79"/>
        <v>75</v>
      </c>
      <c r="AF69" s="14">
        <f t="shared" si="74"/>
        <v>0.40447898503987445</v>
      </c>
      <c r="AG69" s="14">
        <f t="shared" si="75"/>
        <v>23.520679479305834</v>
      </c>
      <c r="AH69" s="14">
        <f>DEGREES(ATAN((Main!S69/2+Main!D69/2)/Main!C69))</f>
        <v>25.51115731489601</v>
      </c>
      <c r="AI69" s="14">
        <f t="shared" si="76"/>
        <v>67</v>
      </c>
      <c r="AJ69" s="21">
        <f>Main!S69*(G69-Main!T69)/G69/25</f>
        <v>1.6350175224545067</v>
      </c>
      <c r="AK69" s="22"/>
      <c r="AL69" s="22"/>
      <c r="AM69" s="22"/>
      <c r="AN69" s="22"/>
      <c r="AO69" s="22"/>
      <c r="AP69" s="22"/>
    </row>
    <row r="70" spans="1:42" ht="15" customHeight="1" x14ac:dyDescent="0.45">
      <c r="A70" s="13">
        <v>68</v>
      </c>
      <c r="B70" s="32">
        <f t="shared" si="55"/>
        <v>-41.758299999999998</v>
      </c>
      <c r="C70" s="32">
        <f t="shared" si="55"/>
        <v>167.3279</v>
      </c>
      <c r="D70" s="32">
        <f t="shared" si="56"/>
        <v>72.265600000000006</v>
      </c>
      <c r="E70" s="11">
        <f t="shared" si="58"/>
        <v>186.98849879246583</v>
      </c>
      <c r="F70" s="11">
        <f t="shared" si="59"/>
        <v>4.4778762256237892</v>
      </c>
      <c r="G70" s="11">
        <f>Main!C70</f>
        <v>53.571762152255161</v>
      </c>
      <c r="H70" s="11">
        <f>E70+G70+Main!T70</f>
        <v>250.56026094472099</v>
      </c>
      <c r="I70" s="11">
        <f t="shared" si="60"/>
        <v>-55.955155596069822</v>
      </c>
      <c r="J70" s="11">
        <f t="shared" si="61"/>
        <v>224.21551356409651</v>
      </c>
      <c r="K70" s="11">
        <f t="shared" si="62"/>
        <v>96.834231571767617</v>
      </c>
      <c r="L70" s="11">
        <f>(H70-Main!T70)/F70*SIGN(B70)</f>
        <v>-53.721954074603708</v>
      </c>
      <c r="M70" s="11">
        <f t="shared" si="77"/>
        <v>215.26694715062354</v>
      </c>
      <c r="N70" s="11">
        <f t="shared" si="78"/>
        <v>92.969523289350434</v>
      </c>
      <c r="O70" s="11">
        <f t="shared" si="63"/>
        <v>125.2801304723605</v>
      </c>
      <c r="P70" s="11">
        <f t="shared" si="64"/>
        <v>-27.977577798034911</v>
      </c>
      <c r="Q70" s="11">
        <f t="shared" si="65"/>
        <v>112.10775678204826</v>
      </c>
      <c r="R70" s="11">
        <f t="shared" si="66"/>
        <v>48.417115785883809</v>
      </c>
      <c r="S70" s="11">
        <f t="shared" si="67"/>
        <v>75.987502531244289</v>
      </c>
      <c r="T70" s="11">
        <f t="shared" ref="T70:T75" si="80">-S70</f>
        <v>-75.987502531244289</v>
      </c>
      <c r="U70" s="11">
        <f t="shared" si="68"/>
        <v>22.735081474040427</v>
      </c>
      <c r="V70" s="11">
        <f t="shared" si="52"/>
        <v>22.735081474040427</v>
      </c>
      <c r="W70" s="11"/>
      <c r="X70" s="14">
        <f t="shared" si="69"/>
        <v>172.45979745233379</v>
      </c>
      <c r="Y70" s="14">
        <f t="shared" si="70"/>
        <v>1.815360544052055</v>
      </c>
      <c r="Z70" s="14">
        <f t="shared" si="71"/>
        <v>0.39680202743117132</v>
      </c>
      <c r="AA70" s="14">
        <f>-Main!D70/2*SIN(ABS(Z70))+X70</f>
        <v>172.01535599985581</v>
      </c>
      <c r="AB70" s="14">
        <f>Main!D70/2*COS(ABS(Z70))*SIGN(Z70)+D70</f>
        <v>73.326246875882489</v>
      </c>
      <c r="AC70" s="14">
        <f t="shared" si="72"/>
        <v>0.40295206076802165</v>
      </c>
      <c r="AD70" s="14">
        <f t="shared" si="73"/>
        <v>186.99203507278057</v>
      </c>
      <c r="AE70" s="14">
        <f t="shared" si="79"/>
        <v>75</v>
      </c>
      <c r="AF70" s="14">
        <f t="shared" si="74"/>
        <v>0.41270273351244169</v>
      </c>
      <c r="AG70" s="14">
        <f t="shared" si="75"/>
        <v>23.998495777841512</v>
      </c>
      <c r="AH70" s="14">
        <f>DEGREES(ATAN((Main!S70/2+Main!D70/2)/Main!C70))</f>
        <v>26.018405019228855</v>
      </c>
      <c r="AI70" s="14">
        <f t="shared" si="76"/>
        <v>68</v>
      </c>
      <c r="AJ70" s="21">
        <f>Main!S70*(G70-Main!T70)/G70/25</f>
        <v>1.6266689913399071</v>
      </c>
      <c r="AK70" s="22"/>
      <c r="AL70" s="22"/>
      <c r="AM70" s="22"/>
      <c r="AN70" s="22"/>
      <c r="AO70" s="22"/>
      <c r="AP70" s="22"/>
    </row>
    <row r="71" spans="1:42" ht="15" customHeight="1" x14ac:dyDescent="0.45">
      <c r="A71" s="13">
        <v>69</v>
      </c>
      <c r="B71" s="32">
        <f t="shared" si="55"/>
        <v>-89.062299999999993</v>
      </c>
      <c r="C71" s="32">
        <f t="shared" si="55"/>
        <v>150.8126</v>
      </c>
      <c r="D71" s="32">
        <f t="shared" si="56"/>
        <v>72.168300000000002</v>
      </c>
      <c r="E71" s="11">
        <f t="shared" si="58"/>
        <v>189.43283011384273</v>
      </c>
      <c r="F71" s="11">
        <f t="shared" si="59"/>
        <v>2.1269698864035931</v>
      </c>
      <c r="G71" s="11">
        <f>Main!C71</f>
        <v>54.407518077103731</v>
      </c>
      <c r="H71" s="11">
        <f>E71+G71+Main!T71</f>
        <v>253.84034819094646</v>
      </c>
      <c r="I71" s="11">
        <f t="shared" si="60"/>
        <v>-119.34364929827699</v>
      </c>
      <c r="J71" s="11">
        <f t="shared" si="61"/>
        <v>202.08916729257305</v>
      </c>
      <c r="K71" s="11">
        <f t="shared" si="62"/>
        <v>96.705657563894533</v>
      </c>
      <c r="L71" s="11">
        <f>(H71-Main!T71)/F71*SIGN(B71)</f>
        <v>-114.64212528332791</v>
      </c>
      <c r="M71" s="11">
        <f t="shared" si="77"/>
        <v>194.12789680374775</v>
      </c>
      <c r="N71" s="11">
        <f t="shared" si="78"/>
        <v>92.895953619935653</v>
      </c>
      <c r="O71" s="11">
        <f t="shared" si="63"/>
        <v>126.92017409547323</v>
      </c>
      <c r="P71" s="11">
        <f t="shared" si="64"/>
        <v>-59.671824649138493</v>
      </c>
      <c r="Q71" s="11">
        <f t="shared" si="65"/>
        <v>101.04458364628653</v>
      </c>
      <c r="R71" s="11">
        <f t="shared" si="66"/>
        <v>48.352828781947267</v>
      </c>
      <c r="S71" s="11">
        <f t="shared" si="67"/>
        <v>59.436047949223919</v>
      </c>
      <c r="T71" s="11">
        <f t="shared" si="80"/>
        <v>-59.436047949223919</v>
      </c>
      <c r="U71" s="11">
        <f t="shared" si="68"/>
        <v>22.393804076645409</v>
      </c>
      <c r="V71" s="11">
        <f t="shared" si="52"/>
        <v>22.393804076645409</v>
      </c>
      <c r="W71" s="11"/>
      <c r="X71" s="14">
        <f t="shared" si="69"/>
        <v>175.14717696854265</v>
      </c>
      <c r="Y71" s="14">
        <f t="shared" si="70"/>
        <v>2.1042379225026124</v>
      </c>
      <c r="Z71" s="14">
        <f t="shared" si="71"/>
        <v>0.39084561318399108</v>
      </c>
      <c r="AA71" s="14">
        <f>-Main!D71/2*SIN(ABS(Z71))+X71</f>
        <v>174.70906101498738</v>
      </c>
      <c r="AB71" s="14">
        <f>Main!D71/2*COS(ABS(Z71))*SIGN(Z71)+D71</f>
        <v>73.231575322407309</v>
      </c>
      <c r="AC71" s="14">
        <f t="shared" si="72"/>
        <v>0.39691629202163808</v>
      </c>
      <c r="AD71" s="14">
        <f t="shared" si="73"/>
        <v>189.4363207648945</v>
      </c>
      <c r="AE71" s="14">
        <f t="shared" si="79"/>
        <v>75</v>
      </c>
      <c r="AF71" s="14">
        <f t="shared" si="74"/>
        <v>0.40706014322629158</v>
      </c>
      <c r="AG71" s="14">
        <f t="shared" si="75"/>
        <v>23.67065249103387</v>
      </c>
      <c r="AH71" s="14">
        <f>DEGREES(ATAN((Main!S71/2+Main!D71/2)/Main!C71))</f>
        <v>25.670433716597923</v>
      </c>
      <c r="AI71" s="14">
        <f t="shared" si="76"/>
        <v>69</v>
      </c>
      <c r="AJ71" s="21">
        <f>Main!S71*(G71-Main!T71)/G71/25</f>
        <v>1.6324037429596228</v>
      </c>
      <c r="AK71" s="22"/>
      <c r="AL71" s="22"/>
      <c r="AM71" s="22"/>
      <c r="AN71" s="22"/>
      <c r="AO71" s="22"/>
      <c r="AP71" s="22"/>
    </row>
    <row r="72" spans="1:42" ht="15" customHeight="1" x14ac:dyDescent="0.45">
      <c r="A72" s="13">
        <v>70</v>
      </c>
      <c r="B72" s="32">
        <f t="shared" si="55"/>
        <v>-132.36099999999999</v>
      </c>
      <c r="C72" s="32">
        <f t="shared" si="55"/>
        <v>126.955</v>
      </c>
      <c r="D72" s="32">
        <f t="shared" si="56"/>
        <v>71.889799999999994</v>
      </c>
      <c r="E72" s="11">
        <f t="shared" si="58"/>
        <v>196.99022739730009</v>
      </c>
      <c r="F72" s="11">
        <f t="shared" si="59"/>
        <v>1.4882799872870416</v>
      </c>
      <c r="G72" s="11">
        <f>Main!C72</f>
        <v>56.979059522021117</v>
      </c>
      <c r="H72" s="11">
        <f>E72+G72+Main!T72</f>
        <v>263.96928691932123</v>
      </c>
      <c r="I72" s="11">
        <f t="shared" si="60"/>
        <v>-177.36534064434073</v>
      </c>
      <c r="J72" s="11">
        <f t="shared" si="61"/>
        <v>170.12123526946971</v>
      </c>
      <c r="K72" s="11">
        <f t="shared" si="62"/>
        <v>96.333201364854659</v>
      </c>
      <c r="L72" s="11">
        <f>(H72-Main!T72)/F72*SIGN(B72)</f>
        <v>-170.64617483856463</v>
      </c>
      <c r="M72" s="11">
        <f t="shared" si="77"/>
        <v>163.67649932102336</v>
      </c>
      <c r="N72" s="11">
        <f t="shared" si="78"/>
        <v>92.683791901764437</v>
      </c>
      <c r="O72" s="11">
        <f t="shared" si="63"/>
        <v>131.98464345966062</v>
      </c>
      <c r="P72" s="11">
        <f t="shared" si="64"/>
        <v>-88.682670322170367</v>
      </c>
      <c r="Q72" s="11">
        <f t="shared" si="65"/>
        <v>85.060617634734854</v>
      </c>
      <c r="R72" s="11">
        <f t="shared" si="66"/>
        <v>48.16660068242733</v>
      </c>
      <c r="S72" s="11">
        <f t="shared" si="67"/>
        <v>43.805719183485337</v>
      </c>
      <c r="T72" s="11">
        <f t="shared" si="80"/>
        <v>-43.805719183485337</v>
      </c>
      <c r="U72" s="11">
        <f t="shared" si="68"/>
        <v>21.403948484880758</v>
      </c>
      <c r="V72" s="11">
        <f t="shared" si="52"/>
        <v>21.403948484880758</v>
      </c>
      <c r="W72" s="11"/>
      <c r="X72" s="14">
        <f t="shared" si="69"/>
        <v>183.40394310374026</v>
      </c>
      <c r="Y72" s="14">
        <f t="shared" si="70"/>
        <v>2.3770386226339317</v>
      </c>
      <c r="Z72" s="14">
        <f t="shared" si="71"/>
        <v>0.37356937398842088</v>
      </c>
      <c r="AA72" s="14">
        <f>-Main!D72/2*SIN(ABS(Z72))+X72</f>
        <v>182.98426101548489</v>
      </c>
      <c r="AB72" s="14">
        <f>Main!D72/2*COS(ABS(Z72))*SIGN(Z72)+D72</f>
        <v>72.960485268787053</v>
      </c>
      <c r="AC72" s="14">
        <f t="shared" si="72"/>
        <v>0.37940716072159364</v>
      </c>
      <c r="AD72" s="14">
        <f t="shared" si="73"/>
        <v>196.99358413420472</v>
      </c>
      <c r="AE72" s="14">
        <f t="shared" si="79"/>
        <v>75</v>
      </c>
      <c r="AF72" s="14">
        <f t="shared" si="74"/>
        <v>0.39057811918182178</v>
      </c>
      <c r="AG72" s="14">
        <f t="shared" si="75"/>
        <v>22.712958340784315</v>
      </c>
      <c r="AH72" s="14">
        <f>DEGREES(ATAN((Main!S72/2+Main!D72/2)/Main!C72))</f>
        <v>24.652308615261592</v>
      </c>
      <c r="AI72" s="14">
        <f t="shared" si="76"/>
        <v>70</v>
      </c>
      <c r="AJ72" s="21">
        <f>Main!S72*(G72-Main!T72)/G72/25</f>
        <v>1.6489938555010644</v>
      </c>
      <c r="AK72" s="22"/>
      <c r="AL72" s="22"/>
      <c r="AM72" s="22"/>
      <c r="AN72" s="22"/>
      <c r="AO72" s="22"/>
      <c r="AP72" s="22"/>
    </row>
    <row r="73" spans="1:42" ht="15" customHeight="1" x14ac:dyDescent="0.45">
      <c r="A73" s="13">
        <v>71</v>
      </c>
      <c r="B73" s="32">
        <f t="shared" si="55"/>
        <v>-170.499</v>
      </c>
      <c r="C73" s="32">
        <f t="shared" si="55"/>
        <v>95.572720000000004</v>
      </c>
      <c r="D73" s="32">
        <f t="shared" si="56"/>
        <v>71.531800000000004</v>
      </c>
      <c r="E73" s="11">
        <f t="shared" si="58"/>
        <v>208.1366191241666</v>
      </c>
      <c r="F73" s="11">
        <f t="shared" si="59"/>
        <v>1.2207497939821736</v>
      </c>
      <c r="G73" s="11">
        <f>Main!C73</f>
        <v>60.741524539105065</v>
      </c>
      <c r="H73" s="11">
        <f>E73+G73+Main!T73</f>
        <v>278.87814366327166</v>
      </c>
      <c r="I73" s="11">
        <f t="shared" si="60"/>
        <v>-228.44824143164595</v>
      </c>
      <c r="J73" s="11">
        <f t="shared" si="61"/>
        <v>128.05599923072336</v>
      </c>
      <c r="K73" s="11">
        <f t="shared" si="62"/>
        <v>95.844045516045327</v>
      </c>
      <c r="L73" s="11">
        <f>(H73-Main!T73)/F73*SIGN(B73)</f>
        <v>-220.25655460991052</v>
      </c>
      <c r="M73" s="11">
        <f t="shared" si="77"/>
        <v>123.46417293883067</v>
      </c>
      <c r="N73" s="11">
        <f t="shared" si="78"/>
        <v>92.40727401946755</v>
      </c>
      <c r="O73" s="11">
        <f t="shared" si="63"/>
        <v>139.43907183163583</v>
      </c>
      <c r="P73" s="11">
        <f t="shared" si="64"/>
        <v>-114.22412071582298</v>
      </c>
      <c r="Q73" s="11">
        <f t="shared" si="65"/>
        <v>64.027999615361679</v>
      </c>
      <c r="R73" s="11">
        <f t="shared" si="66"/>
        <v>47.922022758022663</v>
      </c>
      <c r="S73" s="11">
        <f t="shared" si="67"/>
        <v>29.272683834126891</v>
      </c>
      <c r="T73" s="11">
        <f t="shared" si="80"/>
        <v>-29.272683834126891</v>
      </c>
      <c r="U73" s="11">
        <f t="shared" si="68"/>
        <v>20.101064968042451</v>
      </c>
      <c r="V73" s="11">
        <f t="shared" si="52"/>
        <v>20.101064968042451</v>
      </c>
      <c r="W73" s="11"/>
      <c r="X73" s="14">
        <f t="shared" si="69"/>
        <v>195.45857312790963</v>
      </c>
      <c r="Y73" s="14">
        <f t="shared" si="70"/>
        <v>2.6306879397889613</v>
      </c>
      <c r="Z73" s="14">
        <f t="shared" si="71"/>
        <v>0.35082976684962947</v>
      </c>
      <c r="AA73" s="14">
        <f>-Main!D73/2*SIN(ABS(Z73))+X73</f>
        <v>195.06334440580318</v>
      </c>
      <c r="AB73" s="14">
        <f>Main!D73/2*COS(ABS(Z73))*SIGN(Z73)+D73</f>
        <v>72.611751043900654</v>
      </c>
      <c r="AC73" s="14">
        <f t="shared" si="72"/>
        <v>0.35635492769179367</v>
      </c>
      <c r="AD73" s="14">
        <f t="shared" si="73"/>
        <v>208.13979609973291</v>
      </c>
      <c r="AE73" s="14">
        <f t="shared" si="79"/>
        <v>75</v>
      </c>
      <c r="AF73" s="14">
        <f t="shared" si="74"/>
        <v>0.36862671831018301</v>
      </c>
      <c r="AG73" s="14">
        <f t="shared" si="75"/>
        <v>21.437323572318309</v>
      </c>
      <c r="AH73" s="14">
        <f>DEGREES(ATAN((Main!S73/2+Main!D73/2)/Main!C73))</f>
        <v>23.29249358449394</v>
      </c>
      <c r="AI73" s="14">
        <f t="shared" si="76"/>
        <v>71</v>
      </c>
      <c r="AJ73" s="21">
        <f>Main!S73*(G73-Main!T73)/G73/25</f>
        <v>1.6707359561394595</v>
      </c>
      <c r="AK73" s="22"/>
      <c r="AL73" s="22"/>
      <c r="AM73" s="22"/>
      <c r="AN73" s="22"/>
      <c r="AO73" s="22"/>
      <c r="AP73" s="22"/>
    </row>
    <row r="74" spans="1:42" ht="15" customHeight="1" x14ac:dyDescent="0.45">
      <c r="A74" s="13">
        <v>72</v>
      </c>
      <c r="B74" s="32">
        <f t="shared" si="55"/>
        <v>-201.25800000000001</v>
      </c>
      <c r="C74" s="32">
        <f t="shared" si="55"/>
        <v>56.977739999999997</v>
      </c>
      <c r="D74" s="32">
        <f t="shared" si="56"/>
        <v>71.181799999999996</v>
      </c>
      <c r="E74" s="11">
        <f t="shared" si="58"/>
        <v>220.94817055306794</v>
      </c>
      <c r="F74" s="11">
        <f t="shared" si="59"/>
        <v>1.0978354676736723</v>
      </c>
      <c r="G74" s="11">
        <f>Main!C74</f>
        <v>65.028733114332397</v>
      </c>
      <c r="H74" s="11">
        <f>E74+G74+Main!T74</f>
        <v>295.97690366740034</v>
      </c>
      <c r="I74" s="11">
        <f t="shared" si="60"/>
        <v>-269.60042044786479</v>
      </c>
      <c r="J74" s="11">
        <f t="shared" si="61"/>
        <v>76.326022618574783</v>
      </c>
      <c r="K74" s="11">
        <f t="shared" si="62"/>
        <v>95.353442885429757</v>
      </c>
      <c r="L74" s="11">
        <f>(H74-Main!T74)/F74*SIGN(B74)</f>
        <v>-260.4915873900386</v>
      </c>
      <c r="M74" s="11">
        <f t="shared" si="77"/>
        <v>73.747239555679258</v>
      </c>
      <c r="N74" s="11">
        <f t="shared" si="78"/>
        <v>92.13179140844214</v>
      </c>
      <c r="O74" s="11">
        <f t="shared" si="63"/>
        <v>147.98845183370017</v>
      </c>
      <c r="P74" s="11">
        <f t="shared" si="64"/>
        <v>-134.8002102239324</v>
      </c>
      <c r="Q74" s="11">
        <f t="shared" si="65"/>
        <v>38.163011309287391</v>
      </c>
      <c r="R74" s="11">
        <f t="shared" si="66"/>
        <v>47.676721442714879</v>
      </c>
      <c r="S74" s="11">
        <f t="shared" si="67"/>
        <v>15.80723941078455</v>
      </c>
      <c r="T74" s="11">
        <f t="shared" si="80"/>
        <v>-15.80723941078455</v>
      </c>
      <c r="U74" s="11">
        <f t="shared" si="68"/>
        <v>18.793914488381077</v>
      </c>
      <c r="V74" s="11">
        <f t="shared" si="52"/>
        <v>18.793914488381077</v>
      </c>
      <c r="W74" s="11"/>
      <c r="X74" s="14">
        <f t="shared" si="69"/>
        <v>209.16798373438417</v>
      </c>
      <c r="Y74" s="14">
        <f t="shared" si="70"/>
        <v>2.8657042802205943</v>
      </c>
      <c r="Z74" s="14">
        <f t="shared" si="71"/>
        <v>0.32801568716051532</v>
      </c>
      <c r="AA74" s="14">
        <f>-Main!D74/2*SIN(ABS(Z74))+X74</f>
        <v>208.79749381453058</v>
      </c>
      <c r="AB74" s="14">
        <f>Main!D74/2*COS(ABS(Z74))*SIGN(Z74)+D74</f>
        <v>72.270486005828531</v>
      </c>
      <c r="AC74" s="14">
        <f t="shared" si="72"/>
        <v>0.33322048072205585</v>
      </c>
      <c r="AD74" s="14">
        <f t="shared" si="73"/>
        <v>220.95116331612195</v>
      </c>
      <c r="AE74" s="14">
        <f t="shared" si="79"/>
        <v>75</v>
      </c>
      <c r="AF74" s="14">
        <f t="shared" si="74"/>
        <v>0.34632310849603676</v>
      </c>
      <c r="AG74" s="14">
        <f t="shared" si="75"/>
        <v>20.141065168987346</v>
      </c>
      <c r="AH74" s="14">
        <f>DEGREES(ATAN((Main!S74/2+Main!D74/2)/Main!C74))</f>
        <v>21.906535684936003</v>
      </c>
      <c r="AI74" s="14">
        <f t="shared" si="76"/>
        <v>72</v>
      </c>
      <c r="AJ74" s="21">
        <f>Main!S74*(G74-Main!T74)/G74/25</f>
        <v>1.6924436469516277</v>
      </c>
      <c r="AK74" s="22"/>
      <c r="AL74" s="22"/>
      <c r="AM74" s="22"/>
      <c r="AN74" s="22"/>
      <c r="AO74" s="22"/>
      <c r="AP74" s="22"/>
    </row>
    <row r="75" spans="1:42" ht="15" customHeight="1" x14ac:dyDescent="0.45">
      <c r="A75" s="13">
        <v>73</v>
      </c>
      <c r="B75" s="32">
        <f t="shared" si="55"/>
        <v>-221.94800000000001</v>
      </c>
      <c r="C75" s="32">
        <f t="shared" si="55"/>
        <v>12.562290000000001</v>
      </c>
      <c r="D75" s="32">
        <f t="shared" si="56"/>
        <v>70.892499999999998</v>
      </c>
      <c r="E75" s="11">
        <f t="shared" si="58"/>
        <v>233.3333932172892</v>
      </c>
      <c r="F75" s="11">
        <f t="shared" si="59"/>
        <v>1.0512975706800205</v>
      </c>
      <c r="G75" s="11">
        <f>Main!C75</f>
        <v>69.141984211777583</v>
      </c>
      <c r="H75" s="11">
        <f>E75+G75+Main!T75</f>
        <v>312.47537742906678</v>
      </c>
      <c r="I75" s="11">
        <f t="shared" si="60"/>
        <v>-297.2282883018035</v>
      </c>
      <c r="J75" s="11">
        <f t="shared" si="61"/>
        <v>16.82316557865294</v>
      </c>
      <c r="K75" s="11">
        <f t="shared" si="62"/>
        <v>94.937807182022837</v>
      </c>
      <c r="L75" s="11">
        <f>(H75-Main!T75)/F75*SIGN(B75)</f>
        <v>-287.71623360017264</v>
      </c>
      <c r="M75" s="11">
        <f t="shared" si="77"/>
        <v>16.284781859683857</v>
      </c>
      <c r="N75" s="11">
        <f t="shared" si="78"/>
        <v>91.899557961775898</v>
      </c>
      <c r="O75" s="11">
        <f t="shared" si="63"/>
        <v>156.23768871453339</v>
      </c>
      <c r="P75" s="11">
        <f t="shared" si="64"/>
        <v>-148.61414415090175</v>
      </c>
      <c r="Q75" s="11">
        <f t="shared" si="65"/>
        <v>8.4115827893264701</v>
      </c>
      <c r="R75" s="11">
        <f t="shared" si="66"/>
        <v>47.468903591011419</v>
      </c>
      <c r="S75" s="11">
        <f t="shared" si="67"/>
        <v>3.239493319287543</v>
      </c>
      <c r="T75" s="11">
        <f t="shared" si="80"/>
        <v>-3.239493319287543</v>
      </c>
      <c r="U75" s="11">
        <f t="shared" si="68"/>
        <v>17.687482368956211</v>
      </c>
      <c r="V75" s="11">
        <f t="shared" si="52"/>
        <v>17.687482368956211</v>
      </c>
      <c r="W75" s="11"/>
      <c r="X75" s="14">
        <f t="shared" si="69"/>
        <v>222.30322947281738</v>
      </c>
      <c r="Y75" s="14">
        <f t="shared" si="70"/>
        <v>3.0850528290718655</v>
      </c>
      <c r="Z75" s="14">
        <f t="shared" si="71"/>
        <v>0.30870480372673237</v>
      </c>
      <c r="AA75" s="14">
        <f>-Main!D75/2*SIN(ABS(Z75))+X75</f>
        <v>221.95383081248897</v>
      </c>
      <c r="AB75" s="14">
        <f>Main!D75/2*COS(ABS(Z75))*SIGN(Z75)+D75</f>
        <v>71.988137064068539</v>
      </c>
      <c r="AC75" s="14">
        <f t="shared" si="72"/>
        <v>0.31363333398467957</v>
      </c>
      <c r="AD75" s="14">
        <f t="shared" si="73"/>
        <v>233.33622712792393</v>
      </c>
      <c r="AE75" s="14">
        <f t="shared" si="79"/>
        <v>75</v>
      </c>
      <c r="AF75" s="14">
        <f t="shared" si="74"/>
        <v>0.32723352066962563</v>
      </c>
      <c r="AG75" s="14">
        <f t="shared" si="75"/>
        <v>19.031483632559436</v>
      </c>
      <c r="AH75" s="14">
        <f>DEGREES(ATAN((Main!S75/2+Main!D75/2)/Main!C75))</f>
        <v>20.716981623588218</v>
      </c>
      <c r="AI75" s="14">
        <f t="shared" si="76"/>
        <v>73</v>
      </c>
      <c r="AJ75" s="21">
        <f>Main!S75*(G75-Main!T75)/G75/25</f>
        <v>1.7107401497367902</v>
      </c>
      <c r="AK75" s="22"/>
      <c r="AL75" s="22"/>
      <c r="AM75" s="22"/>
      <c r="AN75" s="22"/>
      <c r="AO75" s="22"/>
      <c r="AP75" s="22"/>
    </row>
    <row r="76" spans="1:42" ht="15" customHeight="1" x14ac:dyDescent="0.45">
      <c r="A76" s="13">
        <v>74</v>
      </c>
      <c r="B76" s="32">
        <f t="shared" si="55"/>
        <v>-230.423</v>
      </c>
      <c r="C76" s="32">
        <f t="shared" si="55"/>
        <v>-35.1111</v>
      </c>
      <c r="D76" s="32">
        <f t="shared" si="56"/>
        <v>70.710800000000006</v>
      </c>
      <c r="E76" s="11">
        <f t="shared" si="58"/>
        <v>243.57250565047363</v>
      </c>
      <c r="F76" s="11">
        <f t="shared" si="59"/>
        <v>1.0570668103899072</v>
      </c>
      <c r="G76" s="11">
        <f>Main!C76</f>
        <v>72.523027324148345</v>
      </c>
      <c r="H76" s="11">
        <f>E76+G76+Main!T76</f>
        <v>326.09553297462196</v>
      </c>
      <c r="I76" s="11">
        <f t="shared" si="60"/>
        <v>-308.49093904891322</v>
      </c>
      <c r="J76" s="11">
        <f t="shared" si="61"/>
        <v>-47.006836166703394</v>
      </c>
      <c r="K76" s="11">
        <f t="shared" si="62"/>
        <v>94.667811342183271</v>
      </c>
      <c r="L76" s="11">
        <f>(H76-Main!T76)/F76*SIGN(B76)</f>
        <v>-299.03079906371073</v>
      </c>
      <c r="M76" s="11">
        <f t="shared" si="77"/>
        <v>-45.565331104125256</v>
      </c>
      <c r="N76" s="11">
        <f t="shared" si="78"/>
        <v>91.764741481684723</v>
      </c>
      <c r="O76" s="11">
        <f t="shared" si="63"/>
        <v>163.04776648731098</v>
      </c>
      <c r="P76" s="11">
        <f t="shared" si="64"/>
        <v>-154.24546952445661</v>
      </c>
      <c r="Q76" s="11">
        <f t="shared" si="65"/>
        <v>-23.503418083351697</v>
      </c>
      <c r="R76" s="11">
        <f t="shared" si="66"/>
        <v>47.333905671091635</v>
      </c>
      <c r="S76" s="11">
        <f t="shared" si="67"/>
        <v>8.6638982069119823</v>
      </c>
      <c r="T76" s="11">
        <f t="shared" ref="T76:T82" si="81">S76</f>
        <v>8.6638982069119823</v>
      </c>
      <c r="U76" s="11">
        <f t="shared" si="68"/>
        <v>16.876335719996291</v>
      </c>
      <c r="V76" s="11">
        <f t="shared" si="52"/>
        <v>16.876335719996291</v>
      </c>
      <c r="W76" s="11"/>
      <c r="X76" s="14">
        <f t="shared" si="69"/>
        <v>233.08270693513495</v>
      </c>
      <c r="Y76" s="14">
        <f t="shared" si="70"/>
        <v>-2.9903791038215459</v>
      </c>
      <c r="Z76" s="14">
        <f t="shared" si="71"/>
        <v>0.29454762398586315</v>
      </c>
      <c r="AA76" s="14">
        <f>-Main!D76/2*SIN(ABS(Z76))+X76</f>
        <v>232.74885390117763</v>
      </c>
      <c r="AB76" s="14">
        <f>Main!D76/2*COS(ABS(Z76))*SIGN(Z76)+D76</f>
        <v>71.811273603371518</v>
      </c>
      <c r="AC76" s="14">
        <f t="shared" si="72"/>
        <v>0.29926897565062072</v>
      </c>
      <c r="AD76" s="14">
        <f t="shared" si="73"/>
        <v>243.57522043272385</v>
      </c>
      <c r="AE76" s="14">
        <f t="shared" si="79"/>
        <v>75</v>
      </c>
      <c r="AF76" s="14">
        <f t="shared" si="74"/>
        <v>0.31299877544559634</v>
      </c>
      <c r="AG76" s="14">
        <f t="shared" si="75"/>
        <v>18.204022349783326</v>
      </c>
      <c r="AH76" s="14">
        <f>DEGREES(ATAN((Main!S76/2+Main!D76/2)/Main!C76))</f>
        <v>19.828042852162046</v>
      </c>
      <c r="AI76" s="14">
        <f t="shared" si="76"/>
        <v>74</v>
      </c>
      <c r="AJ76" s="21">
        <f>Main!S76*(G76-Main!T76)/G76/25</f>
        <v>1.7242255220454579</v>
      </c>
      <c r="AK76" s="22"/>
      <c r="AL76" s="22"/>
      <c r="AM76" s="22"/>
      <c r="AN76" s="22"/>
      <c r="AO76" s="22"/>
      <c r="AP76" s="22"/>
    </row>
    <row r="77" spans="1:42" ht="15" customHeight="1" x14ac:dyDescent="0.45">
      <c r="A77" s="13">
        <v>75</v>
      </c>
      <c r="B77" s="32">
        <f t="shared" si="55"/>
        <v>-225.92699999999999</v>
      </c>
      <c r="C77" s="32">
        <f t="shared" si="55"/>
        <v>-82.936499999999995</v>
      </c>
      <c r="D77" s="32">
        <f t="shared" si="56"/>
        <v>70.593100000000007</v>
      </c>
      <c r="E77" s="11">
        <f t="shared" si="58"/>
        <v>250.80840920682863</v>
      </c>
      <c r="F77" s="11">
        <f t="shared" si="59"/>
        <v>1.1101303040664845</v>
      </c>
      <c r="G77" s="11">
        <f>Main!C77</f>
        <v>74.90315784053459</v>
      </c>
      <c r="H77" s="11">
        <f>E77+G77+Main!T77</f>
        <v>335.71156704736325</v>
      </c>
      <c r="I77" s="11">
        <f t="shared" si="60"/>
        <v>-302.40735327882538</v>
      </c>
      <c r="J77" s="11">
        <f t="shared" si="61"/>
        <v>-111.01199703979294</v>
      </c>
      <c r="K77" s="11">
        <f t="shared" si="62"/>
        <v>94.490134117424873</v>
      </c>
      <c r="L77" s="11">
        <f>(H77-Main!T77)/F77*SIGN(B77)</f>
        <v>-293.39940172271594</v>
      </c>
      <c r="M77" s="11">
        <f t="shared" si="77"/>
        <v>-107.70522992371886</v>
      </c>
      <c r="N77" s="11">
        <f t="shared" si="78"/>
        <v>91.675511584502345</v>
      </c>
      <c r="O77" s="11">
        <f t="shared" si="63"/>
        <v>167.85578352368162</v>
      </c>
      <c r="P77" s="11">
        <f t="shared" si="64"/>
        <v>-151.20367663941269</v>
      </c>
      <c r="Q77" s="11">
        <f t="shared" si="65"/>
        <v>-55.505998519896472</v>
      </c>
      <c r="R77" s="11">
        <f t="shared" si="66"/>
        <v>47.245067058712436</v>
      </c>
      <c r="S77" s="11">
        <f t="shared" si="67"/>
        <v>20.157895203759942</v>
      </c>
      <c r="T77" s="11">
        <f t="shared" si="81"/>
        <v>20.157895203759942</v>
      </c>
      <c r="U77" s="11">
        <f t="shared" si="68"/>
        <v>16.347495951258296</v>
      </c>
      <c r="V77" s="11">
        <f t="shared" si="52"/>
        <v>16.347495951258296</v>
      </c>
      <c r="W77" s="11"/>
      <c r="X77" s="14">
        <f t="shared" si="69"/>
        <v>240.66880221842214</v>
      </c>
      <c r="Y77" s="14">
        <f t="shared" si="70"/>
        <v>-2.789771012012209</v>
      </c>
      <c r="Z77" s="14">
        <f t="shared" si="71"/>
        <v>0.28531762880589956</v>
      </c>
      <c r="AA77" s="14">
        <f>-Main!D77/2*SIN(ABS(Z77))+X77</f>
        <v>240.34512062713605</v>
      </c>
      <c r="AB77" s="14">
        <f>Main!D77/2*COS(ABS(Z77))*SIGN(Z77)+D77</f>
        <v>71.696608145625817</v>
      </c>
      <c r="AC77" s="14">
        <f t="shared" si="72"/>
        <v>0.28990276988872848</v>
      </c>
      <c r="AD77" s="14">
        <f t="shared" si="73"/>
        <v>250.81104566757026</v>
      </c>
      <c r="AE77" s="14">
        <f t="shared" si="79"/>
        <v>75</v>
      </c>
      <c r="AF77" s="14">
        <f t="shared" si="74"/>
        <v>0.30367586732473095</v>
      </c>
      <c r="AG77" s="14">
        <f t="shared" si="75"/>
        <v>17.662054770199966</v>
      </c>
      <c r="AH77" s="14">
        <f>DEGREES(ATAN((Main!S77/2+Main!D77/2)/Main!C77))</f>
        <v>19.244986186205288</v>
      </c>
      <c r="AI77" s="14">
        <f t="shared" si="76"/>
        <v>75</v>
      </c>
      <c r="AJ77" s="21">
        <f>Main!S77*(G77-Main!T77)/G77/25</f>
        <v>1.7329885604745916</v>
      </c>
      <c r="AK77" s="22"/>
      <c r="AL77" s="22"/>
      <c r="AM77" s="22"/>
      <c r="AN77" s="22"/>
      <c r="AO77" s="22"/>
      <c r="AP77" s="22"/>
    </row>
    <row r="78" spans="1:42" ht="15" customHeight="1" x14ac:dyDescent="0.45">
      <c r="A78" s="13">
        <v>76</v>
      </c>
      <c r="B78" s="32">
        <f t="shared" si="55"/>
        <v>-209.22900000000001</v>
      </c>
      <c r="C78" s="32">
        <f t="shared" si="55"/>
        <v>-127.899</v>
      </c>
      <c r="D78" s="32">
        <f t="shared" si="56"/>
        <v>70.526300000000006</v>
      </c>
      <c r="E78" s="11">
        <f t="shared" si="58"/>
        <v>255.16443254045029</v>
      </c>
      <c r="F78" s="11">
        <f t="shared" si="59"/>
        <v>1.2195462031575464</v>
      </c>
      <c r="G78" s="11">
        <f>Main!C78</f>
        <v>76.332661146866826</v>
      </c>
      <c r="H78" s="11">
        <f>E78+G78+Main!T78</f>
        <v>341.49709368731715</v>
      </c>
      <c r="I78" s="11">
        <f t="shared" si="60"/>
        <v>-280.01980802624911</v>
      </c>
      <c r="J78" s="11">
        <f t="shared" si="61"/>
        <v>-171.17251158658328</v>
      </c>
      <c r="K78" s="11">
        <f t="shared" si="62"/>
        <v>94.388258734695739</v>
      </c>
      <c r="L78" s="11">
        <f>(H78-Main!T78)/F78*SIGN(B78)</f>
        <v>-271.82003668990382</v>
      </c>
      <c r="M78" s="11">
        <f t="shared" si="77"/>
        <v>-166.16009670075377</v>
      </c>
      <c r="N78" s="11">
        <f t="shared" si="78"/>
        <v>91.624303770524946</v>
      </c>
      <c r="O78" s="11">
        <f t="shared" si="63"/>
        <v>170.74854684365857</v>
      </c>
      <c r="P78" s="11">
        <f t="shared" si="64"/>
        <v>-140.00990401312455</v>
      </c>
      <c r="Q78" s="11">
        <f t="shared" si="65"/>
        <v>-85.586255793291642</v>
      </c>
      <c r="R78" s="11">
        <f t="shared" si="66"/>
        <v>47.19412936734787</v>
      </c>
      <c r="S78" s="11">
        <f t="shared" si="67"/>
        <v>31.43690893995597</v>
      </c>
      <c r="T78" s="11">
        <f t="shared" si="81"/>
        <v>31.43690893995597</v>
      </c>
      <c r="U78" s="11">
        <f t="shared" si="68"/>
        <v>16.045193909560112</v>
      </c>
      <c r="V78" s="11">
        <f t="shared" si="52"/>
        <v>16.045193909560112</v>
      </c>
      <c r="W78" s="11"/>
      <c r="X78" s="14">
        <f t="shared" si="69"/>
        <v>245.22424154638546</v>
      </c>
      <c r="Y78" s="14">
        <f t="shared" si="70"/>
        <v>-2.5929150859379213</v>
      </c>
      <c r="Z78" s="14">
        <f t="shared" si="71"/>
        <v>0.28004146284276532</v>
      </c>
      <c r="AA78" s="14">
        <f>-Main!D78/2*SIN(ABS(Z78))+X78</f>
        <v>244.90638672550583</v>
      </c>
      <c r="AB78" s="14">
        <f>Main!D78/2*COS(ABS(Z78))*SIGN(Z78)+D78</f>
        <v>71.631500575842949</v>
      </c>
      <c r="AC78" s="14">
        <f t="shared" si="72"/>
        <v>0.2845483300512161</v>
      </c>
      <c r="AD78" s="14">
        <f t="shared" si="73"/>
        <v>255.16702399348156</v>
      </c>
      <c r="AE78" s="14">
        <f t="shared" si="79"/>
        <v>75</v>
      </c>
      <c r="AF78" s="14">
        <f t="shared" si="74"/>
        <v>0.29833077825945131</v>
      </c>
      <c r="AG78" s="14">
        <f t="shared" si="75"/>
        <v>17.351318962989911</v>
      </c>
      <c r="AH78" s="14">
        <f>DEGREES(ATAN((Main!S78/2+Main!D78/2)/Main!C78))</f>
        <v>18.910405433631105</v>
      </c>
      <c r="AI78" s="14">
        <f t="shared" si="76"/>
        <v>76</v>
      </c>
      <c r="AJ78" s="21">
        <f>Main!S78*(G78-Main!T78)/G78/25</f>
        <v>1.7379889591230253</v>
      </c>
      <c r="AK78" s="22"/>
      <c r="AL78" s="22"/>
      <c r="AM78" s="22"/>
      <c r="AN78" s="22"/>
      <c r="AO78" s="22"/>
      <c r="AP78" s="22"/>
    </row>
    <row r="79" spans="1:42" ht="15" customHeight="1" x14ac:dyDescent="0.45">
      <c r="A79" s="13">
        <v>77</v>
      </c>
      <c r="B79" s="32">
        <f t="shared" si="55"/>
        <v>-182.273</v>
      </c>
      <c r="C79" s="32">
        <f t="shared" si="55"/>
        <v>-167.65600000000001</v>
      </c>
      <c r="D79" s="32">
        <f t="shared" si="56"/>
        <v>70.491799999999998</v>
      </c>
      <c r="E79" s="11">
        <f t="shared" si="58"/>
        <v>257.48995074029585</v>
      </c>
      <c r="F79" s="11">
        <f t="shared" si="59"/>
        <v>1.4126609576859759</v>
      </c>
      <c r="G79" s="11">
        <f>Main!C79</f>
        <v>77.094853118342996</v>
      </c>
      <c r="H79" s="11">
        <f>E79+G79+Main!T79</f>
        <v>344.58480385863885</v>
      </c>
      <c r="I79" s="11">
        <f t="shared" si="60"/>
        <v>-243.92604749485653</v>
      </c>
      <c r="J79" s="11">
        <f t="shared" si="61"/>
        <v>-224.36491097857427</v>
      </c>
      <c r="K79" s="11">
        <f t="shared" si="62"/>
        <v>94.335343988401604</v>
      </c>
      <c r="L79" s="11">
        <f>(H79-Main!T79)/F79*SIGN(B79)</f>
        <v>-236.84720812749649</v>
      </c>
      <c r="M79" s="11">
        <f t="shared" si="77"/>
        <v>-217.85374425078618</v>
      </c>
      <c r="N79" s="11">
        <f t="shared" si="78"/>
        <v>91.59769151702038</v>
      </c>
      <c r="O79" s="11">
        <f t="shared" si="63"/>
        <v>172.29240192931942</v>
      </c>
      <c r="P79" s="11">
        <f t="shared" si="64"/>
        <v>-121.96302374742827</v>
      </c>
      <c r="Q79" s="11">
        <f t="shared" si="65"/>
        <v>-112.18245548928714</v>
      </c>
      <c r="R79" s="11">
        <f t="shared" si="66"/>
        <v>47.167671994200802</v>
      </c>
      <c r="S79" s="11">
        <f t="shared" si="67"/>
        <v>42.608069578213971</v>
      </c>
      <c r="T79" s="11">
        <f t="shared" si="81"/>
        <v>42.608069578213971</v>
      </c>
      <c r="U79" s="11">
        <f t="shared" si="68"/>
        <v>15.888444468241502</v>
      </c>
      <c r="V79" s="11">
        <f t="shared" si="52"/>
        <v>15.888444468241502</v>
      </c>
      <c r="W79" s="11"/>
      <c r="X79" s="14">
        <f t="shared" si="69"/>
        <v>247.65294438992646</v>
      </c>
      <c r="Y79" s="14">
        <f t="shared" si="70"/>
        <v>-2.3979415515311278</v>
      </c>
      <c r="Z79" s="14">
        <f t="shared" si="71"/>
        <v>0.27730566899109371</v>
      </c>
      <c r="AA79" s="14">
        <f>-Main!D79/2*SIN(ABS(Z79))+X79</f>
        <v>247.33811435571761</v>
      </c>
      <c r="AB79" s="14">
        <f>Main!D79/2*COS(ABS(Z79))*SIGN(Z79)+D79</f>
        <v>71.597866024051029</v>
      </c>
      <c r="AC79" s="14">
        <f t="shared" si="72"/>
        <v>0.28177183301217035</v>
      </c>
      <c r="AD79" s="14">
        <f t="shared" si="73"/>
        <v>257.49251878887662</v>
      </c>
      <c r="AE79" s="14">
        <f t="shared" si="79"/>
        <v>75</v>
      </c>
      <c r="AF79" s="14">
        <f t="shared" si="74"/>
        <v>0.29555475724551822</v>
      </c>
      <c r="AG79" s="14">
        <f t="shared" si="75"/>
        <v>17.189932554202649</v>
      </c>
      <c r="AH79" s="14">
        <f>DEGREES(ATAN((Main!S79/2+Main!D79/2)/Main!C79))</f>
        <v>18.736553549062851</v>
      </c>
      <c r="AI79" s="14">
        <f t="shared" si="76"/>
        <v>77</v>
      </c>
      <c r="AJ79" s="21">
        <f>Main!S79*(G79-Main!T79)/G79/25</f>
        <v>1.7405793098885685</v>
      </c>
      <c r="AK79" s="22"/>
      <c r="AL79" s="22"/>
      <c r="AM79" s="22"/>
      <c r="AN79" s="22"/>
      <c r="AO79" s="22"/>
      <c r="AP79" s="22"/>
    </row>
    <row r="80" spans="1:42" ht="15" customHeight="1" x14ac:dyDescent="0.45">
      <c r="A80" s="13">
        <v>78</v>
      </c>
      <c r="B80" s="32">
        <f t="shared" si="55"/>
        <v>-147.47300000000001</v>
      </c>
      <c r="C80" s="32">
        <f t="shared" si="55"/>
        <v>-200.839</v>
      </c>
      <c r="D80" s="32">
        <f t="shared" si="56"/>
        <v>70.470699999999994</v>
      </c>
      <c r="E80" s="11">
        <f t="shared" si="58"/>
        <v>258.94151696568474</v>
      </c>
      <c r="F80" s="11">
        <f t="shared" si="59"/>
        <v>1.7558571193756465</v>
      </c>
      <c r="G80" s="11">
        <f>Main!C80</f>
        <v>77.570276742787186</v>
      </c>
      <c r="H80" s="11">
        <f>E80+G80+Main!T80</f>
        <v>346.51179370847194</v>
      </c>
      <c r="I80" s="11">
        <f t="shared" si="60"/>
        <v>-197.34623614003726</v>
      </c>
      <c r="J80" s="11">
        <f t="shared" si="61"/>
        <v>-268.75984566753874</v>
      </c>
      <c r="K80" s="11">
        <f t="shared" si="62"/>
        <v>94.302871733495095</v>
      </c>
      <c r="L80" s="11">
        <f>(H80-Main!T80)/F80*SIGN(B80)</f>
        <v>-191.65101191612328</v>
      </c>
      <c r="M80" s="11">
        <f t="shared" si="77"/>
        <v>-261.00369275882554</v>
      </c>
      <c r="N80" s="11">
        <f t="shared" si="78"/>
        <v>91.581380764191039</v>
      </c>
      <c r="O80" s="11">
        <f t="shared" si="63"/>
        <v>173.25589685423597</v>
      </c>
      <c r="P80" s="11">
        <f t="shared" si="64"/>
        <v>-98.673118070018631</v>
      </c>
      <c r="Q80" s="11">
        <f t="shared" si="65"/>
        <v>-134.37992283376937</v>
      </c>
      <c r="R80" s="11">
        <f t="shared" si="66"/>
        <v>47.151435866747548</v>
      </c>
      <c r="S80" s="11">
        <f t="shared" si="67"/>
        <v>53.710732447177577</v>
      </c>
      <c r="T80" s="11">
        <f t="shared" si="81"/>
        <v>53.710732447177577</v>
      </c>
      <c r="U80" s="11">
        <f t="shared" si="68"/>
        <v>15.79219074787153</v>
      </c>
      <c r="V80" s="11">
        <f t="shared" si="52"/>
        <v>15.79219074787153</v>
      </c>
      <c r="W80" s="11"/>
      <c r="X80" s="14">
        <f t="shared" si="69"/>
        <v>249.16779416690272</v>
      </c>
      <c r="Y80" s="14">
        <f t="shared" si="70"/>
        <v>-2.2041635287287931</v>
      </c>
      <c r="Z80" s="14">
        <f t="shared" si="71"/>
        <v>0.27562572465334378</v>
      </c>
      <c r="AA80" s="14">
        <f>-Main!D80/2*SIN(ABS(Z80))+X80</f>
        <v>248.85482270543275</v>
      </c>
      <c r="AB80" s="14">
        <f>Main!D80/2*COS(ABS(Z80))*SIGN(Z80)+D80</f>
        <v>71.577293359959</v>
      </c>
      <c r="AC80" s="14">
        <f t="shared" si="72"/>
        <v>0.2800668527225133</v>
      </c>
      <c r="AD80" s="14">
        <f t="shared" si="73"/>
        <v>258.94407061852178</v>
      </c>
      <c r="AE80" s="14">
        <f t="shared" si="79"/>
        <v>75</v>
      </c>
      <c r="AF80" s="14">
        <f t="shared" si="74"/>
        <v>0.29384843214464901</v>
      </c>
      <c r="AG80" s="14">
        <f t="shared" si="75"/>
        <v>17.090732873065239</v>
      </c>
      <c r="AH80" s="14">
        <f>DEGREES(ATAN((Main!S80/2+Main!D80/2)/Main!C80))</f>
        <v>18.629664399193942</v>
      </c>
      <c r="AI80" s="14">
        <f t="shared" si="76"/>
        <v>78</v>
      </c>
      <c r="AJ80" s="21">
        <f>Main!S80*(G80-Main!T80)/G80/25</f>
        <v>1.7421692839086114</v>
      </c>
      <c r="AK80" s="22"/>
      <c r="AL80" s="22"/>
      <c r="AM80" s="22"/>
      <c r="AN80" s="22"/>
      <c r="AO80" s="22"/>
      <c r="AP80" s="22"/>
    </row>
    <row r="81" spans="1:42" ht="15" customHeight="1" x14ac:dyDescent="0.45">
      <c r="A81" s="13">
        <v>79</v>
      </c>
      <c r="B81" s="32">
        <f t="shared" si="55"/>
        <v>-107.125</v>
      </c>
      <c r="C81" s="32">
        <f t="shared" si="55"/>
        <v>-226.898</v>
      </c>
      <c r="D81" s="32">
        <f t="shared" si="56"/>
        <v>70.446700000000007</v>
      </c>
      <c r="E81" s="11">
        <f t="shared" si="58"/>
        <v>260.61697099362118</v>
      </c>
      <c r="F81" s="11">
        <f t="shared" si="59"/>
        <v>2.4328305343628585</v>
      </c>
      <c r="G81" s="11">
        <f>Main!C81</f>
        <v>78.118721621072226</v>
      </c>
      <c r="H81" s="11">
        <f>E81+G81+Main!T81</f>
        <v>348.73569261469339</v>
      </c>
      <c r="I81" s="11">
        <f t="shared" si="60"/>
        <v>-143.34565753303687</v>
      </c>
      <c r="J81" s="11">
        <f t="shared" si="61"/>
        <v>-303.61580399468846</v>
      </c>
      <c r="K81" s="11">
        <f t="shared" si="62"/>
        <v>94.265843944294886</v>
      </c>
      <c r="L81" s="11">
        <f>(H81-Main!T81)/F81*SIGN(B81)</f>
        <v>-139.2352191532346</v>
      </c>
      <c r="M81" s="11">
        <f t="shared" si="77"/>
        <v>-294.90961732023919</v>
      </c>
      <c r="N81" s="11">
        <f t="shared" si="78"/>
        <v>91.56276978410429</v>
      </c>
      <c r="O81" s="11">
        <f t="shared" si="63"/>
        <v>174.3678463073467</v>
      </c>
      <c r="P81" s="11">
        <f t="shared" si="64"/>
        <v>-71.672828766518435</v>
      </c>
      <c r="Q81" s="11">
        <f t="shared" si="65"/>
        <v>-151.80790199734423</v>
      </c>
      <c r="R81" s="11">
        <f t="shared" si="66"/>
        <v>47.132921972147443</v>
      </c>
      <c r="S81" s="11">
        <f t="shared" si="67"/>
        <v>64.726671254963591</v>
      </c>
      <c r="T81" s="11">
        <f t="shared" si="81"/>
        <v>64.726671254963591</v>
      </c>
      <c r="U81" s="11">
        <f t="shared" si="68"/>
        <v>15.682560708620471</v>
      </c>
      <c r="V81" s="11">
        <f t="shared" si="52"/>
        <v>15.682560708620471</v>
      </c>
      <c r="W81" s="11"/>
      <c r="X81" s="14">
        <f t="shared" si="69"/>
        <v>250.91526065387094</v>
      </c>
      <c r="Y81" s="14">
        <f t="shared" si="70"/>
        <v>-2.0118991263347086</v>
      </c>
      <c r="Z81" s="14">
        <f t="shared" si="71"/>
        <v>0.2737123195093224</v>
      </c>
      <c r="AA81" s="14">
        <f>-Main!D81/2*SIN(ABS(Z81))+X81</f>
        <v>250.60440712544903</v>
      </c>
      <c r="AB81" s="14">
        <f>Main!D81/2*COS(ABS(Z81))*SIGN(Z81)+D81</f>
        <v>71.553890175113409</v>
      </c>
      <c r="AC81" s="14">
        <f t="shared" si="72"/>
        <v>0.27812489683222053</v>
      </c>
      <c r="AD81" s="14">
        <f t="shared" si="73"/>
        <v>260.61950822969874</v>
      </c>
      <c r="AE81" s="14">
        <f t="shared" si="79"/>
        <v>75</v>
      </c>
      <c r="AF81" s="14">
        <f t="shared" si="74"/>
        <v>0.29190363039575634</v>
      </c>
      <c r="AG81" s="14">
        <f t="shared" si="75"/>
        <v>16.977668103600728</v>
      </c>
      <c r="AH81" s="14">
        <f>DEGREES(ATAN((Main!S81/2+Main!D81/2)/Main!C81))</f>
        <v>18.507810218485709</v>
      </c>
      <c r="AI81" s="14">
        <f t="shared" si="76"/>
        <v>79</v>
      </c>
      <c r="AJ81" s="21">
        <f>Main!S81*(G81-Main!T81)/G81/25</f>
        <v>1.743979425354484</v>
      </c>
      <c r="AK81" s="22"/>
      <c r="AL81" s="22"/>
      <c r="AM81" s="22"/>
      <c r="AN81" s="22"/>
      <c r="AO81" s="22"/>
      <c r="AP81" s="22"/>
    </row>
    <row r="82" spans="1:42" ht="15" customHeight="1" x14ac:dyDescent="0.45">
      <c r="A82" s="13">
        <v>80</v>
      </c>
      <c r="B82" s="32">
        <f t="shared" si="55"/>
        <v>-63.1068</v>
      </c>
      <c r="C82" s="32">
        <f t="shared" si="55"/>
        <v>-245.785</v>
      </c>
      <c r="D82" s="32">
        <f t="shared" si="56"/>
        <v>70.408500000000004</v>
      </c>
      <c r="E82" s="11">
        <f t="shared" si="58"/>
        <v>263.34405499932973</v>
      </c>
      <c r="F82" s="11">
        <f t="shared" si="59"/>
        <v>4.1729901531899847</v>
      </c>
      <c r="G82" s="11">
        <f>Main!C82</f>
        <v>79.010720545979495</v>
      </c>
      <c r="H82" s="11">
        <f>E82+G82+Main!T82</f>
        <v>352.35477554530922</v>
      </c>
      <c r="I82" s="11">
        <f t="shared" si="60"/>
        <v>-84.437001433122603</v>
      </c>
      <c r="J82" s="11">
        <f t="shared" si="61"/>
        <v>-328.86073128791253</v>
      </c>
      <c r="K82" s="11">
        <f t="shared" si="62"/>
        <v>94.206687954452022</v>
      </c>
      <c r="L82" s="11">
        <f>(H82-Main!T82)/F82*SIGN(B82)</f>
        <v>-82.040638242005159</v>
      </c>
      <c r="M82" s="11">
        <f t="shared" si="77"/>
        <v>-319.52750369708554</v>
      </c>
      <c r="N82" s="11">
        <f t="shared" si="78"/>
        <v>91.533056305536334</v>
      </c>
      <c r="O82" s="11">
        <f t="shared" si="63"/>
        <v>176.17738777265461</v>
      </c>
      <c r="P82" s="11">
        <f t="shared" si="64"/>
        <v>-42.218500716561302</v>
      </c>
      <c r="Q82" s="11">
        <f t="shared" si="65"/>
        <v>-164.43036564395626</v>
      </c>
      <c r="R82" s="11">
        <f t="shared" si="66"/>
        <v>47.103343977226011</v>
      </c>
      <c r="S82" s="11">
        <f t="shared" si="67"/>
        <v>75.600013566373519</v>
      </c>
      <c r="T82" s="11">
        <f t="shared" si="81"/>
        <v>75.600013566373519</v>
      </c>
      <c r="U82" s="11">
        <f t="shared" si="68"/>
        <v>15.507419857603267</v>
      </c>
      <c r="V82" s="11">
        <f t="shared" si="52"/>
        <v>15.507419857603267</v>
      </c>
      <c r="W82" s="11"/>
      <c r="X82" s="14">
        <f t="shared" si="69"/>
        <v>253.75723522934277</v>
      </c>
      <c r="Y82" s="14">
        <f t="shared" si="70"/>
        <v>-1.8221235023041946</v>
      </c>
      <c r="Z82" s="14">
        <f t="shared" si="71"/>
        <v>0.27065553500432732</v>
      </c>
      <c r="AA82" s="14">
        <f>-Main!D82/2*SIN(ABS(Z82))+X82</f>
        <v>253.44976758971745</v>
      </c>
      <c r="AB82" s="14">
        <f>Main!D82/2*COS(ABS(Z82))*SIGN(Z82)+D82</f>
        <v>71.516635213132062</v>
      </c>
      <c r="AC82" s="14">
        <f t="shared" si="72"/>
        <v>0.27502241805378291</v>
      </c>
      <c r="AD82" s="14">
        <f t="shared" si="73"/>
        <v>263.3465659610734</v>
      </c>
      <c r="AE82" s="14">
        <f t="shared" si="79"/>
        <v>75</v>
      </c>
      <c r="AF82" s="14">
        <f t="shared" si="74"/>
        <v>0.28879341594610936</v>
      </c>
      <c r="AG82" s="14">
        <f t="shared" si="75"/>
        <v>16.796847853239179</v>
      </c>
      <c r="AH82" s="14">
        <f>DEGREES(ATAN((Main!S82/2+Main!D82/2)/Main!C82))</f>
        <v>18.312877965380487</v>
      </c>
      <c r="AI82" s="14">
        <f t="shared" si="76"/>
        <v>80</v>
      </c>
      <c r="AJ82" s="21">
        <f>Main!S82*(G82-Main!T82)/G82/25</f>
        <v>1.7468697935951463</v>
      </c>
      <c r="AK82" s="22"/>
      <c r="AL82" s="22"/>
      <c r="AM82" s="22"/>
      <c r="AN82" s="22"/>
      <c r="AO82" s="22"/>
      <c r="AP82" s="22"/>
    </row>
    <row r="83" spans="1:42" ht="15" customHeight="1" x14ac:dyDescent="0.45">
      <c r="A83" s="30"/>
      <c r="B83" s="30"/>
      <c r="C83" s="30"/>
      <c r="D83" s="30"/>
      <c r="E83" s="30"/>
      <c r="F83" s="30"/>
      <c r="G83" s="1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8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22"/>
      <c r="AK83" s="22"/>
      <c r="AL83" s="22"/>
      <c r="AM83" s="22"/>
      <c r="AN83" s="22"/>
      <c r="AO83" s="22"/>
      <c r="AP83" s="22"/>
    </row>
    <row r="84" spans="1:42" ht="15" customHeight="1" x14ac:dyDescent="0.45">
      <c r="A84" s="22"/>
      <c r="B84" s="22"/>
      <c r="C84" s="22"/>
      <c r="D84" s="22"/>
      <c r="E84" s="22"/>
      <c r="F84" s="22"/>
      <c r="G84" s="3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21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</row>
    <row r="85" spans="1:42" ht="15" customHeight="1" x14ac:dyDescent="0.45">
      <c r="A85" s="22"/>
      <c r="B85" s="22"/>
      <c r="C85" s="22"/>
      <c r="D85" s="22"/>
      <c r="E85" s="22"/>
      <c r="F85" s="22"/>
      <c r="G85" s="3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21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</row>
    <row r="86" spans="1:42" ht="15" customHeight="1" x14ac:dyDescent="0.45">
      <c r="A86" s="22"/>
      <c r="B86" s="22"/>
      <c r="C86" s="22"/>
      <c r="D86" s="22"/>
      <c r="E86" s="22"/>
      <c r="F86" s="22"/>
      <c r="G86" s="3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21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</row>
    <row r="87" spans="1:42" ht="15" customHeight="1" x14ac:dyDescent="0.45">
      <c r="A87" s="22"/>
      <c r="B87" s="22"/>
      <c r="C87" s="22"/>
      <c r="D87" s="22"/>
      <c r="E87" s="22"/>
      <c r="F87" s="22"/>
      <c r="G87" s="33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21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9"/>
  <sheetViews>
    <sheetView showGridLines="0" workbookViewId="0"/>
  </sheetViews>
  <sheetFormatPr defaultColWidth="8.796875" defaultRowHeight="15" customHeight="1" x14ac:dyDescent="0.45"/>
  <cols>
    <col min="1" max="256" width="8.86328125" style="1" customWidth="1"/>
  </cols>
  <sheetData>
    <row r="1" spans="1:10" ht="15" customHeight="1" x14ac:dyDescent="0.45">
      <c r="A1" s="22"/>
      <c r="B1" s="22"/>
      <c r="C1" s="28" t="s">
        <v>85</v>
      </c>
      <c r="D1" s="22"/>
      <c r="E1" s="22"/>
      <c r="F1" s="22"/>
      <c r="G1" s="22"/>
      <c r="H1" s="25"/>
      <c r="I1" s="22"/>
      <c r="J1" s="22"/>
    </row>
    <row r="2" spans="1:10" ht="15" customHeight="1" x14ac:dyDescent="0.45">
      <c r="A2" s="28" t="s">
        <v>86</v>
      </c>
      <c r="B2" s="34" t="s">
        <v>87</v>
      </c>
      <c r="C2" s="34" t="s">
        <v>88</v>
      </c>
      <c r="D2" s="34" t="s">
        <v>89</v>
      </c>
      <c r="E2" s="34" t="s">
        <v>90</v>
      </c>
      <c r="F2" s="22"/>
      <c r="G2" s="35" t="s">
        <v>91</v>
      </c>
      <c r="H2" s="36">
        <v>150</v>
      </c>
      <c r="I2" s="37" t="s">
        <v>92</v>
      </c>
      <c r="J2" s="22"/>
    </row>
    <row r="3" spans="1:10" ht="15" customHeight="1" x14ac:dyDescent="0.45">
      <c r="A3" s="33">
        <v>1</v>
      </c>
      <c r="B3" s="36">
        <v>0</v>
      </c>
      <c r="C3" s="36">
        <v>277.00200000000001</v>
      </c>
      <c r="D3" s="36">
        <v>70.37124</v>
      </c>
      <c r="E3" s="36">
        <v>-70.036299999999997</v>
      </c>
      <c r="F3" s="21"/>
      <c r="G3" s="35" t="s">
        <v>93</v>
      </c>
      <c r="H3" s="36">
        <v>2.2999999999999998</v>
      </c>
      <c r="I3" s="37" t="s">
        <v>92</v>
      </c>
      <c r="J3" s="22"/>
    </row>
    <row r="4" spans="1:10" ht="15" customHeight="1" x14ac:dyDescent="0.45">
      <c r="A4" s="33">
        <v>2</v>
      </c>
      <c r="B4" s="36">
        <v>1</v>
      </c>
      <c r="C4" s="36">
        <v>242.88310000000001</v>
      </c>
      <c r="D4" s="36">
        <v>107.2608</v>
      </c>
      <c r="E4" s="36">
        <v>-70.260199999999998</v>
      </c>
      <c r="F4" s="21"/>
      <c r="G4" s="35" t="s">
        <v>94</v>
      </c>
      <c r="H4" s="38">
        <v>105</v>
      </c>
      <c r="I4" s="37" t="s">
        <v>95</v>
      </c>
      <c r="J4" s="22"/>
    </row>
    <row r="5" spans="1:10" ht="15" customHeight="1" x14ac:dyDescent="0.45">
      <c r="A5" s="33">
        <v>3</v>
      </c>
      <c r="B5" s="36">
        <v>3</v>
      </c>
      <c r="C5" s="36">
        <v>201.33260000000001</v>
      </c>
      <c r="D5" s="36">
        <v>136.87</v>
      </c>
      <c r="E5" s="36">
        <v>-70.551900000000003</v>
      </c>
      <c r="F5" s="21"/>
      <c r="G5" s="22"/>
      <c r="H5" s="39"/>
      <c r="I5" s="22"/>
      <c r="J5" s="22"/>
    </row>
    <row r="6" spans="1:10" ht="15" customHeight="1" x14ac:dyDescent="0.45">
      <c r="A6" s="33">
        <v>4</v>
      </c>
      <c r="B6" s="36">
        <v>5</v>
      </c>
      <c r="C6" s="36">
        <v>155.0181</v>
      </c>
      <c r="D6" s="36">
        <v>158.44730000000001</v>
      </c>
      <c r="E6" s="36">
        <v>-70.905600000000007</v>
      </c>
      <c r="F6" s="21"/>
      <c r="G6" s="35" t="s">
        <v>96</v>
      </c>
      <c r="H6" s="40">
        <v>42.6</v>
      </c>
      <c r="I6" s="21"/>
      <c r="J6" s="28" t="s">
        <v>97</v>
      </c>
    </row>
    <row r="7" spans="1:10" ht="15" customHeight="1" x14ac:dyDescent="0.45">
      <c r="A7" s="33">
        <v>5</v>
      </c>
      <c r="B7" s="36">
        <v>7</v>
      </c>
      <c r="C7" s="36">
        <v>106.2709</v>
      </c>
      <c r="D7" s="36">
        <v>171.95910000000001</v>
      </c>
      <c r="E7" s="36">
        <v>-71.354200000000006</v>
      </c>
      <c r="F7" s="21"/>
      <c r="G7" s="35" t="s">
        <v>98</v>
      </c>
      <c r="H7" s="38">
        <v>118.65</v>
      </c>
      <c r="I7" s="21"/>
      <c r="J7" s="28" t="s">
        <v>99</v>
      </c>
    </row>
    <row r="8" spans="1:10" ht="15" customHeight="1" x14ac:dyDescent="0.45">
      <c r="A8" s="33">
        <v>6</v>
      </c>
      <c r="B8" s="36">
        <v>9</v>
      </c>
      <c r="C8" s="36">
        <v>56.740560000000002</v>
      </c>
      <c r="D8" s="36">
        <v>177.77029999999999</v>
      </c>
      <c r="E8" s="36">
        <v>-71.789500000000004</v>
      </c>
      <c r="F8" s="21"/>
      <c r="G8" s="22"/>
      <c r="H8" s="30"/>
      <c r="I8" s="22"/>
      <c r="J8" s="22"/>
    </row>
    <row r="9" spans="1:10" ht="15" customHeight="1" x14ac:dyDescent="0.45">
      <c r="A9" s="33">
        <v>7</v>
      </c>
      <c r="B9" s="36">
        <v>11</v>
      </c>
      <c r="C9" s="36">
        <v>7.3514189999999999</v>
      </c>
      <c r="D9" s="36">
        <v>176.24610000000001</v>
      </c>
      <c r="E9" s="36">
        <v>-72.124099999999999</v>
      </c>
      <c r="F9" s="21"/>
      <c r="G9" s="22"/>
      <c r="H9" s="22"/>
      <c r="I9" s="22"/>
      <c r="J9" s="22"/>
    </row>
    <row r="10" spans="1:10" ht="15" customHeight="1" x14ac:dyDescent="0.45">
      <c r="A10" s="33">
        <v>8</v>
      </c>
      <c r="B10" s="36">
        <v>13</v>
      </c>
      <c r="C10" s="36">
        <v>-41.758299999999998</v>
      </c>
      <c r="D10" s="36">
        <v>167.3279</v>
      </c>
      <c r="E10" s="36">
        <v>-72.265600000000006</v>
      </c>
      <c r="F10" s="21"/>
      <c r="G10" s="22"/>
      <c r="H10" s="22"/>
      <c r="I10" s="22"/>
      <c r="J10" s="22"/>
    </row>
    <row r="11" spans="1:10" ht="15" customHeight="1" x14ac:dyDescent="0.45">
      <c r="A11" s="33">
        <v>9</v>
      </c>
      <c r="B11" s="36">
        <v>15</v>
      </c>
      <c r="C11" s="36">
        <v>-89.062299999999993</v>
      </c>
      <c r="D11" s="36">
        <v>150.8126</v>
      </c>
      <c r="E11" s="36">
        <v>-72.168300000000002</v>
      </c>
      <c r="F11" s="21"/>
      <c r="G11" s="22"/>
      <c r="H11" s="22"/>
      <c r="I11" s="22"/>
      <c r="J11" s="22"/>
    </row>
    <row r="12" spans="1:10" ht="15" customHeight="1" x14ac:dyDescent="0.45">
      <c r="A12" s="33">
        <v>10</v>
      </c>
      <c r="B12" s="36">
        <v>17</v>
      </c>
      <c r="C12" s="36">
        <v>-132.36099999999999</v>
      </c>
      <c r="D12" s="36">
        <v>126.955</v>
      </c>
      <c r="E12" s="36">
        <v>-71.889799999999994</v>
      </c>
      <c r="F12" s="21"/>
      <c r="G12" s="22"/>
      <c r="H12" s="22"/>
      <c r="I12" s="22"/>
      <c r="J12" s="22"/>
    </row>
    <row r="13" spans="1:10" ht="15" customHeight="1" x14ac:dyDescent="0.45">
      <c r="A13" s="33">
        <v>11</v>
      </c>
      <c r="B13" s="36">
        <v>19</v>
      </c>
      <c r="C13" s="36">
        <v>-170.499</v>
      </c>
      <c r="D13" s="36">
        <v>95.572720000000004</v>
      </c>
      <c r="E13" s="36">
        <v>-71.531800000000004</v>
      </c>
      <c r="F13" s="21"/>
      <c r="G13" s="22"/>
      <c r="H13" s="22"/>
      <c r="I13" s="22"/>
      <c r="J13" s="22"/>
    </row>
    <row r="14" spans="1:10" ht="15" customHeight="1" x14ac:dyDescent="0.45">
      <c r="A14" s="33">
        <v>12</v>
      </c>
      <c r="B14" s="36">
        <v>21</v>
      </c>
      <c r="C14" s="36">
        <v>-201.25800000000001</v>
      </c>
      <c r="D14" s="36">
        <v>56.977739999999997</v>
      </c>
      <c r="E14" s="36">
        <v>-71.181799999999996</v>
      </c>
      <c r="F14" s="21"/>
      <c r="G14" s="22"/>
      <c r="H14" s="22"/>
      <c r="I14" s="22"/>
      <c r="J14" s="22"/>
    </row>
    <row r="15" spans="1:10" ht="15" customHeight="1" x14ac:dyDescent="0.45">
      <c r="A15" s="33">
        <v>13</v>
      </c>
      <c r="B15" s="36">
        <v>23</v>
      </c>
      <c r="C15" s="36">
        <v>-221.94800000000001</v>
      </c>
      <c r="D15" s="36">
        <v>12.562290000000001</v>
      </c>
      <c r="E15" s="36">
        <v>-70.892499999999998</v>
      </c>
      <c r="F15" s="21"/>
      <c r="G15" s="22"/>
      <c r="H15" s="22"/>
      <c r="I15" s="22"/>
      <c r="J15" s="22"/>
    </row>
    <row r="16" spans="1:10" ht="15" customHeight="1" x14ac:dyDescent="0.45">
      <c r="A16" s="33">
        <v>14</v>
      </c>
      <c r="B16" s="36">
        <v>25</v>
      </c>
      <c r="C16" s="36">
        <v>-230.423</v>
      </c>
      <c r="D16" s="36">
        <v>-35.1111</v>
      </c>
      <c r="E16" s="36">
        <v>-70.710800000000006</v>
      </c>
      <c r="F16" s="21"/>
      <c r="G16" s="22"/>
      <c r="H16" s="22"/>
      <c r="I16" s="22"/>
      <c r="J16" s="22"/>
    </row>
    <row r="17" spans="1:10" ht="15" customHeight="1" x14ac:dyDescent="0.45">
      <c r="A17" s="33">
        <v>15</v>
      </c>
      <c r="B17" s="36">
        <v>27</v>
      </c>
      <c r="C17" s="36">
        <v>-225.92699999999999</v>
      </c>
      <c r="D17" s="36">
        <v>-82.936499999999995</v>
      </c>
      <c r="E17" s="36">
        <v>-70.593100000000007</v>
      </c>
      <c r="F17" s="21"/>
      <c r="G17" s="22"/>
      <c r="H17" s="22"/>
      <c r="I17" s="22"/>
      <c r="J17" s="22"/>
    </row>
    <row r="18" spans="1:10" ht="15" customHeight="1" x14ac:dyDescent="0.45">
      <c r="A18" s="33">
        <v>16</v>
      </c>
      <c r="B18" s="36">
        <v>29</v>
      </c>
      <c r="C18" s="36">
        <v>-209.22900000000001</v>
      </c>
      <c r="D18" s="36">
        <v>-127.899</v>
      </c>
      <c r="E18" s="36">
        <v>-70.526300000000006</v>
      </c>
      <c r="F18" s="21"/>
      <c r="G18" s="22"/>
      <c r="H18" s="22"/>
      <c r="I18" s="22"/>
      <c r="J18" s="22"/>
    </row>
    <row r="19" spans="1:10" ht="15" customHeight="1" x14ac:dyDescent="0.45">
      <c r="A19" s="33">
        <v>17</v>
      </c>
      <c r="B19" s="36">
        <v>31</v>
      </c>
      <c r="C19" s="36">
        <v>-182.273</v>
      </c>
      <c r="D19" s="36">
        <v>-167.65600000000001</v>
      </c>
      <c r="E19" s="36">
        <v>-70.491799999999998</v>
      </c>
      <c r="F19" s="21"/>
      <c r="G19" s="22"/>
      <c r="H19" s="22"/>
      <c r="I19" s="22"/>
      <c r="J19" s="22"/>
    </row>
    <row r="20" spans="1:10" ht="15" customHeight="1" x14ac:dyDescent="0.45">
      <c r="A20" s="33">
        <v>18</v>
      </c>
      <c r="B20" s="36">
        <v>33</v>
      </c>
      <c r="C20" s="36">
        <v>-147.47300000000001</v>
      </c>
      <c r="D20" s="36">
        <v>-200.839</v>
      </c>
      <c r="E20" s="36">
        <v>-70.470699999999994</v>
      </c>
      <c r="F20" s="21"/>
      <c r="G20" s="22"/>
      <c r="H20" s="22"/>
      <c r="I20" s="22"/>
      <c r="J20" s="22"/>
    </row>
    <row r="21" spans="1:10" ht="15" customHeight="1" x14ac:dyDescent="0.45">
      <c r="A21" s="33">
        <v>19</v>
      </c>
      <c r="B21" s="36">
        <v>35</v>
      </c>
      <c r="C21" s="36">
        <v>-107.125</v>
      </c>
      <c r="D21" s="36">
        <v>-226.898</v>
      </c>
      <c r="E21" s="36">
        <v>-70.446700000000007</v>
      </c>
      <c r="F21" s="21"/>
      <c r="G21" s="22"/>
      <c r="H21" s="22"/>
      <c r="I21" s="22"/>
      <c r="J21" s="22"/>
    </row>
    <row r="22" spans="1:10" ht="15" customHeight="1" x14ac:dyDescent="0.45">
      <c r="A22" s="33">
        <v>20</v>
      </c>
      <c r="B22" s="36">
        <v>37</v>
      </c>
      <c r="C22" s="36">
        <v>-63.1068</v>
      </c>
      <c r="D22" s="36">
        <v>-245.785</v>
      </c>
      <c r="E22" s="36">
        <v>-70.408500000000004</v>
      </c>
      <c r="F22" s="21"/>
      <c r="G22" s="22"/>
      <c r="H22" s="22"/>
      <c r="I22" s="22"/>
      <c r="J22" s="22"/>
    </row>
    <row r="23" spans="1:10" ht="15" customHeight="1" x14ac:dyDescent="0.45">
      <c r="A23" s="33">
        <v>21</v>
      </c>
      <c r="B23" s="36">
        <v>39</v>
      </c>
      <c r="C23" s="36">
        <v>277.00200000000001</v>
      </c>
      <c r="D23" s="36">
        <v>70.37124</v>
      </c>
      <c r="E23" s="36">
        <v>-23.4255</v>
      </c>
      <c r="F23" s="21"/>
      <c r="G23" s="22"/>
      <c r="H23" s="22"/>
      <c r="I23" s="22"/>
      <c r="J23" s="22"/>
    </row>
    <row r="24" spans="1:10" ht="15" customHeight="1" x14ac:dyDescent="0.45">
      <c r="A24" s="33">
        <v>22</v>
      </c>
      <c r="B24" s="36">
        <v>41</v>
      </c>
      <c r="C24" s="36">
        <v>242.88310000000001</v>
      </c>
      <c r="D24" s="36">
        <v>107.2608</v>
      </c>
      <c r="E24" s="36">
        <v>-23.509599999999999</v>
      </c>
      <c r="F24" s="21"/>
      <c r="G24" s="22"/>
      <c r="H24" s="22"/>
      <c r="I24" s="22"/>
      <c r="J24" s="22"/>
    </row>
    <row r="25" spans="1:10" ht="15" customHeight="1" x14ac:dyDescent="0.45">
      <c r="A25" s="33">
        <v>23</v>
      </c>
      <c r="B25" s="36">
        <v>43</v>
      </c>
      <c r="C25" s="36">
        <v>201.33260000000001</v>
      </c>
      <c r="D25" s="36">
        <v>136.87</v>
      </c>
      <c r="E25" s="36">
        <v>-23.62</v>
      </c>
      <c r="F25" s="21"/>
      <c r="G25" s="22"/>
      <c r="H25" s="22"/>
      <c r="I25" s="22"/>
      <c r="J25" s="22"/>
    </row>
    <row r="26" spans="1:10" ht="15" customHeight="1" x14ac:dyDescent="0.45">
      <c r="A26" s="33">
        <v>24</v>
      </c>
      <c r="B26" s="36">
        <v>45</v>
      </c>
      <c r="C26" s="36">
        <v>155.0181</v>
      </c>
      <c r="D26" s="36">
        <v>158.44730000000001</v>
      </c>
      <c r="E26" s="36">
        <v>-23.755299999999998</v>
      </c>
      <c r="F26" s="21"/>
      <c r="G26" s="22"/>
      <c r="H26" s="22"/>
      <c r="I26" s="22"/>
      <c r="J26" s="22"/>
    </row>
    <row r="27" spans="1:10" ht="15" customHeight="1" x14ac:dyDescent="0.45">
      <c r="A27" s="33">
        <v>25</v>
      </c>
      <c r="B27" s="36">
        <v>47</v>
      </c>
      <c r="C27" s="36">
        <v>106.2709</v>
      </c>
      <c r="D27" s="36">
        <v>171.95910000000001</v>
      </c>
      <c r="E27" s="36">
        <v>-23.9071</v>
      </c>
      <c r="F27" s="21"/>
      <c r="G27" s="22"/>
      <c r="H27" s="22"/>
      <c r="I27" s="22"/>
      <c r="J27" s="22"/>
    </row>
    <row r="28" spans="1:10" ht="15" customHeight="1" x14ac:dyDescent="0.45">
      <c r="A28" s="33">
        <v>26</v>
      </c>
      <c r="B28" s="36">
        <v>49</v>
      </c>
      <c r="C28" s="36">
        <v>56.740560000000002</v>
      </c>
      <c r="D28" s="36">
        <v>177.77029999999999</v>
      </c>
      <c r="E28" s="36">
        <v>-24.0565</v>
      </c>
      <c r="F28" s="21"/>
      <c r="G28" s="22"/>
      <c r="H28" s="22"/>
      <c r="I28" s="22"/>
      <c r="J28" s="22"/>
    </row>
    <row r="29" spans="1:10" ht="15" customHeight="1" x14ac:dyDescent="0.45">
      <c r="A29" s="33">
        <v>27</v>
      </c>
      <c r="B29" s="36">
        <v>51</v>
      </c>
      <c r="C29" s="36">
        <v>7.3514189999999999</v>
      </c>
      <c r="D29" s="36">
        <v>176.24610000000001</v>
      </c>
      <c r="E29" s="36">
        <v>-24.172799999999999</v>
      </c>
      <c r="F29" s="21"/>
      <c r="G29" s="22"/>
      <c r="H29" s="22"/>
      <c r="I29" s="22"/>
      <c r="J29" s="22"/>
    </row>
    <row r="30" spans="1:10" ht="15" customHeight="1" x14ac:dyDescent="0.45">
      <c r="A30" s="33">
        <v>28</v>
      </c>
      <c r="B30" s="36">
        <v>53</v>
      </c>
      <c r="C30" s="36">
        <v>-41.758299999999998</v>
      </c>
      <c r="D30" s="36">
        <v>167.3279</v>
      </c>
      <c r="E30" s="36">
        <v>-24.2224</v>
      </c>
      <c r="F30" s="21"/>
      <c r="G30" s="22"/>
      <c r="H30" s="22"/>
      <c r="I30" s="22"/>
      <c r="J30" s="22"/>
    </row>
    <row r="31" spans="1:10" ht="15" customHeight="1" x14ac:dyDescent="0.45">
      <c r="A31" s="33">
        <v>29</v>
      </c>
      <c r="B31" s="36">
        <v>55</v>
      </c>
      <c r="C31" s="36">
        <v>-89.062299999999993</v>
      </c>
      <c r="D31" s="36">
        <v>150.8126</v>
      </c>
      <c r="E31" s="36">
        <v>-24.188300000000002</v>
      </c>
      <c r="F31" s="21"/>
      <c r="G31" s="22"/>
      <c r="H31" s="22"/>
      <c r="I31" s="22"/>
      <c r="J31" s="22"/>
    </row>
    <row r="32" spans="1:10" ht="15" customHeight="1" x14ac:dyDescent="0.45">
      <c r="A32" s="33">
        <v>30</v>
      </c>
      <c r="B32" s="36">
        <v>57</v>
      </c>
      <c r="C32" s="36">
        <v>-132.36099999999999</v>
      </c>
      <c r="D32" s="36">
        <v>126.955</v>
      </c>
      <c r="E32" s="36">
        <v>-24.091200000000001</v>
      </c>
      <c r="F32" s="21"/>
      <c r="G32" s="22"/>
      <c r="H32" s="22"/>
      <c r="I32" s="22"/>
      <c r="J32" s="22"/>
    </row>
    <row r="33" spans="1:10" ht="15" customHeight="1" x14ac:dyDescent="0.45">
      <c r="A33" s="33">
        <v>31</v>
      </c>
      <c r="B33" s="36">
        <v>59</v>
      </c>
      <c r="C33" s="36">
        <v>-170.499</v>
      </c>
      <c r="D33" s="36">
        <v>95.572720000000004</v>
      </c>
      <c r="E33" s="36">
        <v>-23.9678</v>
      </c>
      <c r="F33" s="21"/>
      <c r="G33" s="22"/>
      <c r="H33" s="22"/>
      <c r="I33" s="22"/>
      <c r="J33" s="22"/>
    </row>
    <row r="34" spans="1:10" ht="15" customHeight="1" x14ac:dyDescent="0.45">
      <c r="A34" s="33">
        <v>32</v>
      </c>
      <c r="B34" s="36">
        <v>61</v>
      </c>
      <c r="C34" s="36">
        <v>-201.25800000000001</v>
      </c>
      <c r="D34" s="36">
        <v>56.977739999999997</v>
      </c>
      <c r="E34" s="36">
        <v>-23.848500000000001</v>
      </c>
      <c r="F34" s="21"/>
      <c r="G34" s="22"/>
      <c r="H34" s="22"/>
      <c r="I34" s="22"/>
      <c r="J34" s="22"/>
    </row>
    <row r="35" spans="1:10" ht="15" customHeight="1" x14ac:dyDescent="0.45">
      <c r="A35" s="33">
        <v>33</v>
      </c>
      <c r="B35" s="36">
        <v>63</v>
      </c>
      <c r="C35" s="36">
        <v>-221.94800000000001</v>
      </c>
      <c r="D35" s="36">
        <v>12.562290000000001</v>
      </c>
      <c r="E35" s="36">
        <v>-23.750900000000001</v>
      </c>
      <c r="F35" s="21"/>
      <c r="G35" s="22"/>
      <c r="H35" s="22"/>
      <c r="I35" s="22"/>
      <c r="J35" s="22"/>
    </row>
    <row r="36" spans="1:10" ht="15" customHeight="1" x14ac:dyDescent="0.45">
      <c r="A36" s="33">
        <v>34</v>
      </c>
      <c r="B36" s="36">
        <v>65</v>
      </c>
      <c r="C36" s="36">
        <v>-230.423</v>
      </c>
      <c r="D36" s="36">
        <v>-35.1111</v>
      </c>
      <c r="E36" s="36">
        <v>-23.680599999999998</v>
      </c>
      <c r="F36" s="21"/>
      <c r="G36" s="22"/>
      <c r="H36" s="22"/>
      <c r="I36" s="22"/>
      <c r="J36" s="22"/>
    </row>
    <row r="37" spans="1:10" ht="15" customHeight="1" x14ac:dyDescent="0.45">
      <c r="A37" s="33">
        <v>35</v>
      </c>
      <c r="B37" s="36">
        <v>67</v>
      </c>
      <c r="C37" s="36">
        <v>-225.92699999999999</v>
      </c>
      <c r="D37" s="36">
        <v>-82.936499999999995</v>
      </c>
      <c r="E37" s="36">
        <v>-23.6357</v>
      </c>
      <c r="F37" s="21"/>
      <c r="G37" s="22"/>
      <c r="H37" s="22"/>
      <c r="I37" s="22"/>
      <c r="J37" s="22"/>
    </row>
    <row r="38" spans="1:10" ht="15" customHeight="1" x14ac:dyDescent="0.45">
      <c r="A38" s="33">
        <v>36</v>
      </c>
      <c r="B38" s="36">
        <v>69</v>
      </c>
      <c r="C38" s="36">
        <v>-209.22900000000001</v>
      </c>
      <c r="D38" s="36">
        <v>-127.899</v>
      </c>
      <c r="E38" s="36">
        <v>-23.610299999999999</v>
      </c>
      <c r="F38" s="21"/>
      <c r="G38" s="22"/>
      <c r="H38" s="22"/>
      <c r="I38" s="22"/>
      <c r="J38" s="22"/>
    </row>
    <row r="39" spans="1:10" ht="15" customHeight="1" x14ac:dyDescent="0.45">
      <c r="A39" s="33">
        <v>37</v>
      </c>
      <c r="B39" s="36">
        <v>71</v>
      </c>
      <c r="C39" s="36">
        <v>-182.273</v>
      </c>
      <c r="D39" s="36">
        <v>-167.65600000000001</v>
      </c>
      <c r="E39" s="36">
        <v>-23.597200000000001</v>
      </c>
      <c r="F39" s="21"/>
      <c r="G39" s="22"/>
      <c r="H39" s="22"/>
      <c r="I39" s="22"/>
      <c r="J39" s="22"/>
    </row>
    <row r="40" spans="1:10" ht="15" customHeight="1" x14ac:dyDescent="0.45">
      <c r="A40" s="33">
        <v>38</v>
      </c>
      <c r="B40" s="36">
        <v>73</v>
      </c>
      <c r="C40" s="36">
        <v>-147.47300000000001</v>
      </c>
      <c r="D40" s="36">
        <v>-200.839</v>
      </c>
      <c r="E40" s="36">
        <v>-23.589200000000002</v>
      </c>
      <c r="F40" s="21"/>
      <c r="G40" s="22"/>
      <c r="H40" s="22"/>
      <c r="I40" s="22"/>
      <c r="J40" s="22"/>
    </row>
    <row r="41" spans="1:10" ht="15" customHeight="1" x14ac:dyDescent="0.45">
      <c r="A41" s="33">
        <v>39</v>
      </c>
      <c r="B41" s="36">
        <v>75</v>
      </c>
      <c r="C41" s="36">
        <v>-107.125</v>
      </c>
      <c r="D41" s="36">
        <v>-226.898</v>
      </c>
      <c r="E41" s="36">
        <v>-23.580100000000002</v>
      </c>
      <c r="F41" s="21"/>
      <c r="G41" s="22"/>
      <c r="H41" s="22"/>
      <c r="I41" s="22"/>
      <c r="J41" s="22"/>
    </row>
    <row r="42" spans="1:10" ht="15" customHeight="1" x14ac:dyDescent="0.45">
      <c r="A42" s="33">
        <v>40</v>
      </c>
      <c r="B42" s="36">
        <v>78</v>
      </c>
      <c r="C42" s="36">
        <v>-63.1068</v>
      </c>
      <c r="D42" s="36">
        <v>-245.785</v>
      </c>
      <c r="E42" s="36">
        <v>-23.5656</v>
      </c>
      <c r="F42" s="21"/>
      <c r="G42" s="22"/>
      <c r="H42" s="22"/>
      <c r="I42" s="22"/>
      <c r="J42" s="22"/>
    </row>
    <row r="43" spans="1:10" ht="15" customHeight="1" x14ac:dyDescent="0.45">
      <c r="A43" s="22"/>
      <c r="B43" s="30"/>
      <c r="C43" s="30"/>
      <c r="D43" s="30"/>
      <c r="E43" s="30"/>
      <c r="F43" s="22"/>
      <c r="G43" s="22"/>
      <c r="H43" s="22"/>
      <c r="I43" s="22"/>
      <c r="J43" s="22"/>
    </row>
    <row r="44" spans="1:10" ht="15" customHeight="1" x14ac:dyDescent="0.45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spans="1:10" ht="15" customHeight="1" x14ac:dyDescent="0.45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ht="15" customHeight="1" x14ac:dyDescent="0.45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spans="1:10" ht="15" customHeight="1" x14ac:dyDescent="0.45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ht="15" customHeight="1" x14ac:dyDescent="0.45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10" ht="15" customHeight="1" x14ac:dyDescent="0.45">
      <c r="A49" s="22"/>
      <c r="B49" s="22"/>
      <c r="C49" s="41"/>
      <c r="D49" s="22"/>
      <c r="E49" s="22"/>
      <c r="F49" s="22"/>
      <c r="G49" s="22"/>
      <c r="H49" s="22"/>
      <c r="I49" s="22"/>
      <c r="J49" s="22"/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81"/>
  <sheetViews>
    <sheetView showGridLines="0" workbookViewId="0"/>
  </sheetViews>
  <sheetFormatPr defaultColWidth="8.796875" defaultRowHeight="15" customHeight="1" x14ac:dyDescent="0.45"/>
  <cols>
    <col min="1" max="256" width="8.86328125" style="1" customWidth="1"/>
  </cols>
  <sheetData>
    <row r="1" spans="1:12" ht="15" customHeight="1" x14ac:dyDescent="0.45">
      <c r="A1" s="2"/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14</v>
      </c>
      <c r="K1" s="21"/>
      <c r="L1" s="22"/>
    </row>
    <row r="2" spans="1:12" ht="15" customHeight="1" x14ac:dyDescent="0.45">
      <c r="A2" s="13">
        <v>1</v>
      </c>
      <c r="B2" s="11">
        <f>Main!B3-Main!Q3</f>
        <v>289.96241526388332</v>
      </c>
      <c r="C2" s="11">
        <v>0</v>
      </c>
      <c r="D2" s="11">
        <f t="shared" ref="D2:D33" si="0">(1/(90/B2))</f>
        <v>3.221804614043148</v>
      </c>
      <c r="E2" s="11">
        <f t="shared" ref="E2:E33" si="1">SQRT((8100)/((D2^2)+1))</f>
        <v>26.679083231929091</v>
      </c>
      <c r="F2" s="11">
        <f t="shared" ref="F2:F33" si="2">D2*E2</f>
        <v>85.95479345507033</v>
      </c>
      <c r="G2" s="11">
        <f t="shared" ref="G2:G33" si="3">(F2-C2)/(E2-B2)</f>
        <v>-0.32647259813864005</v>
      </c>
      <c r="H2" s="11">
        <f t="shared" ref="H2:H33" si="4">(-(G2*E2))+F2</f>
        <v>94.664783073755245</v>
      </c>
      <c r="I2" s="11">
        <f t="shared" ref="I2:I33" si="5">H2/B2</f>
        <v>0.32647259813864005</v>
      </c>
      <c r="J2" s="36">
        <v>18.407</v>
      </c>
      <c r="K2" s="21"/>
      <c r="L2" s="28" t="s">
        <v>108</v>
      </c>
    </row>
    <row r="3" spans="1:12" ht="15" customHeight="1" x14ac:dyDescent="0.45">
      <c r="A3" s="13">
        <v>2</v>
      </c>
      <c r="B3" s="11">
        <f>Main!B4-Main!Q4</f>
        <v>270.66406420306794</v>
      </c>
      <c r="C3" s="11">
        <v>0</v>
      </c>
      <c r="D3" s="11">
        <f t="shared" si="0"/>
        <v>3.0073784911451993</v>
      </c>
      <c r="E3" s="11">
        <f t="shared" si="1"/>
        <v>28.397631726180801</v>
      </c>
      <c r="F3" s="11">
        <f t="shared" si="2"/>
        <v>85.40242685277866</v>
      </c>
      <c r="G3" s="11">
        <f t="shared" si="3"/>
        <v>-0.35251448572400257</v>
      </c>
      <c r="H3" s="11">
        <f t="shared" si="4"/>
        <v>95.413003396512906</v>
      </c>
      <c r="I3" s="11">
        <f t="shared" si="5"/>
        <v>0.35251448572400257</v>
      </c>
      <c r="J3" s="36">
        <v>19.719100000000001</v>
      </c>
      <c r="K3" s="21"/>
      <c r="L3" s="28" t="s">
        <v>109</v>
      </c>
    </row>
    <row r="4" spans="1:12" ht="15" customHeight="1" x14ac:dyDescent="0.45">
      <c r="A4" s="13">
        <v>3</v>
      </c>
      <c r="B4" s="11">
        <f>Main!B5-Main!Q5</f>
        <v>249.81374621247724</v>
      </c>
      <c r="C4" s="11">
        <v>0</v>
      </c>
      <c r="D4" s="11">
        <f t="shared" si="0"/>
        <v>2.7757082912497468</v>
      </c>
      <c r="E4" s="11">
        <f t="shared" si="1"/>
        <v>30.504870433048332</v>
      </c>
      <c r="F4" s="11">
        <f t="shared" si="2"/>
        <v>84.672621784511506</v>
      </c>
      <c r="G4" s="11">
        <f t="shared" si="3"/>
        <v>-0.38608844025843919</v>
      </c>
      <c r="H4" s="11">
        <f t="shared" si="4"/>
        <v>96.450199630292914</v>
      </c>
      <c r="I4" s="11">
        <f t="shared" si="5"/>
        <v>0.38608844025843919</v>
      </c>
      <c r="J4" s="36">
        <v>21.439900000000002</v>
      </c>
      <c r="K4" s="21"/>
      <c r="L4" s="22"/>
    </row>
    <row r="5" spans="1:12" ht="15" customHeight="1" x14ac:dyDescent="0.45">
      <c r="A5" s="13">
        <v>4</v>
      </c>
      <c r="B5" s="11">
        <f>Main!B6-Main!Q6</f>
        <v>229.40681897599558</v>
      </c>
      <c r="C5" s="11">
        <v>0</v>
      </c>
      <c r="D5" s="11">
        <f t="shared" si="0"/>
        <v>2.5489646552888399</v>
      </c>
      <c r="E5" s="11">
        <f t="shared" si="1"/>
        <v>32.869444034697132</v>
      </c>
      <c r="F5" s="11">
        <f t="shared" si="2"/>
        <v>83.783051083437584</v>
      </c>
      <c r="G5" s="11">
        <f t="shared" si="3"/>
        <v>-0.42629576745116193</v>
      </c>
      <c r="H5" s="11">
        <f t="shared" si="4"/>
        <v>97.795155953901812</v>
      </c>
      <c r="I5" s="11">
        <f t="shared" si="5"/>
        <v>0.42629576745116193</v>
      </c>
      <c r="J5" s="36">
        <v>23.5258</v>
      </c>
      <c r="K5" s="21"/>
      <c r="L5" s="22"/>
    </row>
    <row r="6" spans="1:12" ht="15" customHeight="1" x14ac:dyDescent="0.45">
      <c r="A6" s="13">
        <v>5</v>
      </c>
      <c r="B6" s="11">
        <f>Main!B7-Main!Q7</f>
        <v>211.34119541626779</v>
      </c>
      <c r="C6" s="11">
        <v>0</v>
      </c>
      <c r="D6" s="11">
        <f t="shared" si="0"/>
        <v>2.3482355046251979</v>
      </c>
      <c r="E6" s="11">
        <f t="shared" si="1"/>
        <v>35.262380913246474</v>
      </c>
      <c r="F6" s="11">
        <f t="shared" si="2"/>
        <v>82.804374838103286</v>
      </c>
      <c r="G6" s="11">
        <f t="shared" si="3"/>
        <v>-0.47026881156496236</v>
      </c>
      <c r="H6" s="11">
        <f t="shared" si="4"/>
        <v>99.387172803126717</v>
      </c>
      <c r="I6" s="11">
        <f t="shared" si="5"/>
        <v>0.47026881156496231</v>
      </c>
      <c r="J6" s="36">
        <v>25.8431</v>
      </c>
      <c r="K6" s="21"/>
      <c r="L6" s="22"/>
    </row>
    <row r="7" spans="1:12" ht="15" customHeight="1" x14ac:dyDescent="0.45">
      <c r="A7" s="13">
        <v>6</v>
      </c>
      <c r="B7" s="11">
        <f>Main!B8-Main!Q8</f>
        <v>197.14318108748955</v>
      </c>
      <c r="C7" s="11">
        <v>0</v>
      </c>
      <c r="D7" s="11">
        <f t="shared" si="0"/>
        <v>2.1904797898609951</v>
      </c>
      <c r="E7" s="11">
        <f t="shared" si="1"/>
        <v>37.376260638863791</v>
      </c>
      <c r="F7" s="11">
        <f t="shared" si="2"/>
        <v>81.87194355000814</v>
      </c>
      <c r="G7" s="11">
        <f t="shared" si="3"/>
        <v>-0.51244615168216046</v>
      </c>
      <c r="H7" s="11">
        <f t="shared" si="4"/>
        <v>101.0252644786633</v>
      </c>
      <c r="I7" s="11">
        <f t="shared" si="5"/>
        <v>0.51244615168216046</v>
      </c>
      <c r="J7" s="36">
        <v>28.132100000000001</v>
      </c>
      <c r="K7" s="21"/>
      <c r="L7" s="22"/>
    </row>
    <row r="8" spans="1:12" ht="15" customHeight="1" x14ac:dyDescent="0.45">
      <c r="A8" s="13">
        <v>7</v>
      </c>
      <c r="B8" s="11">
        <f>Main!B9-Main!Q9</f>
        <v>187.93222868976147</v>
      </c>
      <c r="C8" s="11">
        <v>0</v>
      </c>
      <c r="D8" s="11">
        <f t="shared" si="0"/>
        <v>2.0881358743306833</v>
      </c>
      <c r="E8" s="11">
        <f t="shared" si="1"/>
        <v>38.872949858812717</v>
      </c>
      <c r="F8" s="11">
        <f t="shared" si="2"/>
        <v>81.172001141244706</v>
      </c>
      <c r="G8" s="11">
        <f t="shared" si="3"/>
        <v>-0.54456188019870655</v>
      </c>
      <c r="H8" s="11">
        <f t="shared" si="4"/>
        <v>102.3407278052298</v>
      </c>
      <c r="I8" s="11">
        <f t="shared" si="5"/>
        <v>0.54456188019870655</v>
      </c>
      <c r="J8" s="36">
        <v>30.003900000000002</v>
      </c>
      <c r="K8" s="21"/>
      <c r="L8" s="22"/>
    </row>
    <row r="9" spans="1:12" ht="15" customHeight="1" x14ac:dyDescent="0.45">
      <c r="A9" s="13">
        <v>8</v>
      </c>
      <c r="B9" s="11">
        <f>Main!B10-Main!Q10</f>
        <v>184.40537399267157</v>
      </c>
      <c r="C9" s="11">
        <v>0</v>
      </c>
      <c r="D9" s="11">
        <f t="shared" si="0"/>
        <v>2.0489485999185733</v>
      </c>
      <c r="E9" s="11">
        <f t="shared" si="1"/>
        <v>39.474480158491431</v>
      </c>
      <c r="F9" s="11">
        <f t="shared" si="2"/>
        <v>80.88118085325452</v>
      </c>
      <c r="G9" s="11">
        <f t="shared" si="3"/>
        <v>-0.55806721888980515</v>
      </c>
      <c r="H9" s="11">
        <f t="shared" si="4"/>
        <v>102.91059421242463</v>
      </c>
      <c r="I9" s="11">
        <f t="shared" si="5"/>
        <v>0.55806721888980515</v>
      </c>
      <c r="J9" s="36">
        <v>31.020800000000001</v>
      </c>
      <c r="K9" s="21"/>
      <c r="L9" s="22"/>
    </row>
    <row r="10" spans="1:12" ht="15" customHeight="1" x14ac:dyDescent="0.45">
      <c r="A10" s="13">
        <v>9</v>
      </c>
      <c r="B10" s="11">
        <f>Main!B11-Main!Q11</f>
        <v>186.80940681033459</v>
      </c>
      <c r="C10" s="11">
        <v>0</v>
      </c>
      <c r="D10" s="11">
        <f t="shared" si="0"/>
        <v>2.0756600756703842</v>
      </c>
      <c r="E10" s="11">
        <f t="shared" si="1"/>
        <v>39.062688566428335</v>
      </c>
      <c r="F10" s="11">
        <f t="shared" si="2"/>
        <v>81.080863105681289</v>
      </c>
      <c r="G10" s="11">
        <f t="shared" si="3"/>
        <v>-0.54878283639322345</v>
      </c>
      <c r="H10" s="11">
        <f t="shared" si="4"/>
        <v>102.51779613431097</v>
      </c>
      <c r="I10" s="11">
        <f t="shared" si="5"/>
        <v>0.54878283639322345</v>
      </c>
      <c r="J10" s="36">
        <v>30.8978</v>
      </c>
      <c r="K10" s="21"/>
      <c r="L10" s="22"/>
    </row>
    <row r="11" spans="1:12" ht="15" customHeight="1" x14ac:dyDescent="0.45">
      <c r="A11" s="13">
        <v>10</v>
      </c>
      <c r="B11" s="11">
        <f>Main!B12-Main!Q12</f>
        <v>194.2428094329259</v>
      </c>
      <c r="C11" s="11">
        <v>0</v>
      </c>
      <c r="D11" s="11">
        <f t="shared" si="0"/>
        <v>2.1582534381436211</v>
      </c>
      <c r="E11" s="11">
        <f t="shared" si="1"/>
        <v>37.836313534188818</v>
      </c>
      <c r="F11" s="11">
        <f t="shared" si="2"/>
        <v>81.660353771843049</v>
      </c>
      <c r="G11" s="11">
        <f t="shared" si="3"/>
        <v>-0.52210333913952489</v>
      </c>
      <c r="H11" s="11">
        <f t="shared" si="4"/>
        <v>101.41481940877303</v>
      </c>
      <c r="I11" s="11">
        <f t="shared" si="5"/>
        <v>0.522103339139525</v>
      </c>
      <c r="J11" s="36">
        <v>29.758700000000001</v>
      </c>
      <c r="K11" s="21"/>
      <c r="L11" s="22"/>
    </row>
    <row r="12" spans="1:12" ht="15" customHeight="1" x14ac:dyDescent="0.45">
      <c r="A12" s="13">
        <v>11</v>
      </c>
      <c r="B12" s="11">
        <f>Main!B13-Main!Q13</f>
        <v>205.20778251116991</v>
      </c>
      <c r="C12" s="11">
        <v>0</v>
      </c>
      <c r="D12" s="11">
        <f t="shared" si="0"/>
        <v>2.2800864723463321</v>
      </c>
      <c r="E12" s="11">
        <f t="shared" si="1"/>
        <v>36.148384756565918</v>
      </c>
      <c r="F12" s="11">
        <f t="shared" si="2"/>
        <v>82.421443080616314</v>
      </c>
      <c r="G12" s="11">
        <f t="shared" si="3"/>
        <v>-0.48752949658707589</v>
      </c>
      <c r="H12" s="11">
        <f t="shared" si="4"/>
        <v>100.04484690342082</v>
      </c>
      <c r="I12" s="11">
        <f t="shared" si="5"/>
        <v>0.48752949658707589</v>
      </c>
      <c r="J12" s="36">
        <v>28.074100000000001</v>
      </c>
      <c r="K12" s="21"/>
      <c r="L12" s="22"/>
    </row>
    <row r="13" spans="1:12" ht="15" customHeight="1" x14ac:dyDescent="0.45">
      <c r="A13" s="13">
        <v>12</v>
      </c>
      <c r="B13" s="11">
        <f>Main!B14-Main!Q14</f>
        <v>217.81261319116092</v>
      </c>
      <c r="C13" s="11">
        <v>0</v>
      </c>
      <c r="D13" s="11">
        <f t="shared" si="0"/>
        <v>2.4201401465684547</v>
      </c>
      <c r="E13" s="11">
        <f t="shared" si="1"/>
        <v>34.369479426955067</v>
      </c>
      <c r="F13" s="11">
        <f t="shared" si="2"/>
        <v>83.178956977832527</v>
      </c>
      <c r="G13" s="11">
        <f t="shared" si="3"/>
        <v>-0.45343183618280908</v>
      </c>
      <c r="H13" s="11">
        <f t="shared" si="4"/>
        <v>98.763173143044042</v>
      </c>
      <c r="I13" s="11">
        <f t="shared" si="5"/>
        <v>0.45343183618280908</v>
      </c>
      <c r="J13" s="36">
        <v>26.246300000000002</v>
      </c>
      <c r="K13" s="21"/>
      <c r="L13" s="22"/>
    </row>
    <row r="14" spans="1:12" ht="15" customHeight="1" x14ac:dyDescent="0.45">
      <c r="A14" s="13">
        <v>13</v>
      </c>
      <c r="B14" s="11">
        <f>Main!B15-Main!Q15</f>
        <v>229.99950299324124</v>
      </c>
      <c r="C14" s="11">
        <v>0</v>
      </c>
      <c r="D14" s="11">
        <f t="shared" si="0"/>
        <v>2.5555500332582359</v>
      </c>
      <c r="E14" s="11">
        <f t="shared" si="1"/>
        <v>32.796002830631799</v>
      </c>
      <c r="F14" s="11">
        <f t="shared" si="2"/>
        <v>83.811826124558294</v>
      </c>
      <c r="G14" s="11">
        <f t="shared" si="3"/>
        <v>-0.42500171678215148</v>
      </c>
      <c r="H14" s="11">
        <f t="shared" si="4"/>
        <v>97.750183631169108</v>
      </c>
      <c r="I14" s="11">
        <f t="shared" si="5"/>
        <v>0.42500171678215143</v>
      </c>
      <c r="J14" s="36">
        <v>24.6328</v>
      </c>
      <c r="K14" s="21"/>
      <c r="L14" s="22"/>
    </row>
    <row r="15" spans="1:12" ht="15" customHeight="1" x14ac:dyDescent="0.45">
      <c r="A15" s="13">
        <v>14</v>
      </c>
      <c r="B15" s="11">
        <f>Main!B16-Main!Q16</f>
        <v>240.0755881903994</v>
      </c>
      <c r="C15" s="11">
        <v>0</v>
      </c>
      <c r="D15" s="11">
        <f t="shared" si="0"/>
        <v>2.6675065354488825</v>
      </c>
      <c r="E15" s="11">
        <f t="shared" si="1"/>
        <v>31.592386244666528</v>
      </c>
      <c r="F15" s="11">
        <f t="shared" si="2"/>
        <v>84.272896778073346</v>
      </c>
      <c r="G15" s="11">
        <f t="shared" si="3"/>
        <v>-0.4042191216921599</v>
      </c>
      <c r="H15" s="11">
        <f t="shared" si="4"/>
        <v>97.043143398051924</v>
      </c>
      <c r="I15" s="11">
        <f t="shared" si="5"/>
        <v>0.4042191216921599</v>
      </c>
      <c r="J15" s="36">
        <v>23.399000000000001</v>
      </c>
      <c r="K15" s="21"/>
      <c r="L15" s="22"/>
    </row>
    <row r="16" spans="1:12" ht="15" customHeight="1" x14ac:dyDescent="0.45">
      <c r="A16" s="13">
        <v>15</v>
      </c>
      <c r="B16" s="11">
        <f>Main!B17-Main!Q17</f>
        <v>247.1967265436582</v>
      </c>
      <c r="C16" s="11">
        <v>0</v>
      </c>
      <c r="D16" s="11">
        <f t="shared" si="0"/>
        <v>2.7466302949295356</v>
      </c>
      <c r="E16" s="11">
        <f t="shared" si="1"/>
        <v>30.79019570445783</v>
      </c>
      <c r="F16" s="11">
        <f t="shared" si="2"/>
        <v>84.569284308673133</v>
      </c>
      <c r="G16" s="11">
        <f t="shared" si="3"/>
        <v>-0.39078896547494613</v>
      </c>
      <c r="H16" s="11">
        <f t="shared" si="4"/>
        <v>96.60175303478934</v>
      </c>
      <c r="I16" s="11">
        <f t="shared" si="5"/>
        <v>0.39078896547494613</v>
      </c>
      <c r="J16" s="36"/>
      <c r="K16" s="21"/>
      <c r="L16" s="22"/>
    </row>
    <row r="17" spans="1:12" ht="15" customHeight="1" x14ac:dyDescent="0.45">
      <c r="A17" s="13">
        <v>16</v>
      </c>
      <c r="B17" s="11">
        <f>Main!B18-Main!Q18</f>
        <v>251.48382204489906</v>
      </c>
      <c r="C17" s="11">
        <v>0</v>
      </c>
      <c r="D17" s="11">
        <f t="shared" si="0"/>
        <v>2.7942646893877674</v>
      </c>
      <c r="E17" s="11">
        <f t="shared" si="1"/>
        <v>30.325358813880602</v>
      </c>
      <c r="F17" s="11">
        <f t="shared" si="2"/>
        <v>84.737079326640668</v>
      </c>
      <c r="G17" s="11">
        <f t="shared" si="3"/>
        <v>-0.38315096826353745</v>
      </c>
      <c r="H17" s="11">
        <f t="shared" si="4"/>
        <v>96.356269919118219</v>
      </c>
      <c r="I17" s="11">
        <f t="shared" si="5"/>
        <v>0.38315096826353745</v>
      </c>
      <c r="J17" s="36"/>
      <c r="K17" s="21"/>
      <c r="L17" s="22"/>
    </row>
    <row r="18" spans="1:12" ht="15" customHeight="1" x14ac:dyDescent="0.45">
      <c r="A18" s="13">
        <v>17</v>
      </c>
      <c r="B18" s="11">
        <f>Main!B19-Main!Q19</f>
        <v>253.77258884989357</v>
      </c>
      <c r="C18" s="11">
        <v>0</v>
      </c>
      <c r="D18" s="11">
        <f t="shared" si="0"/>
        <v>2.8196954316654841</v>
      </c>
      <c r="E18" s="11">
        <f t="shared" si="1"/>
        <v>30.082535481217104</v>
      </c>
      <c r="F18" s="11">
        <f t="shared" si="2"/>
        <v>84.823587869302699</v>
      </c>
      <c r="G18" s="11">
        <f t="shared" si="3"/>
        <v>-0.37920142890529002</v>
      </c>
      <c r="H18" s="11">
        <f t="shared" si="4"/>
        <v>96.230928308874311</v>
      </c>
      <c r="I18" s="11">
        <f t="shared" si="5"/>
        <v>0.37920142890529002</v>
      </c>
      <c r="J18" s="36"/>
      <c r="K18" s="21"/>
      <c r="L18" s="22"/>
    </row>
    <row r="19" spans="1:12" ht="15" customHeight="1" x14ac:dyDescent="0.45">
      <c r="A19" s="13">
        <v>18</v>
      </c>
      <c r="B19" s="11">
        <f>Main!B20-Main!Q20</f>
        <v>255.20123108500528</v>
      </c>
      <c r="C19" s="11">
        <v>0</v>
      </c>
      <c r="D19" s="11">
        <f t="shared" si="0"/>
        <v>2.8355692342778362</v>
      </c>
      <c r="E19" s="11">
        <f t="shared" si="1"/>
        <v>29.932804964112822</v>
      </c>
      <c r="F19" s="11">
        <f t="shared" si="2"/>
        <v>84.876540851877209</v>
      </c>
      <c r="G19" s="11">
        <f t="shared" si="3"/>
        <v>-0.37677957054810424</v>
      </c>
      <c r="H19" s="11">
        <f t="shared" si="4"/>
        <v>96.154610251555795</v>
      </c>
      <c r="I19" s="11">
        <f t="shared" si="5"/>
        <v>0.37677957054810424</v>
      </c>
      <c r="J19" s="36"/>
      <c r="K19" s="21"/>
      <c r="L19" s="22"/>
    </row>
    <row r="20" spans="1:12" ht="15" customHeight="1" x14ac:dyDescent="0.45">
      <c r="A20" s="13">
        <v>19</v>
      </c>
      <c r="B20" s="11">
        <f>Main!B21-Main!Q21</f>
        <v>256.85024018170367</v>
      </c>
      <c r="C20" s="11">
        <v>0</v>
      </c>
      <c r="D20" s="11">
        <f t="shared" si="0"/>
        <v>2.8538915575744852</v>
      </c>
      <c r="E20" s="11">
        <f t="shared" si="1"/>
        <v>29.761707824329914</v>
      </c>
      <c r="F20" s="11">
        <f t="shared" si="2"/>
        <v>84.936686698853649</v>
      </c>
      <c r="G20" s="11">
        <f t="shared" si="3"/>
        <v>-0.37402455252644412</v>
      </c>
      <c r="H20" s="11">
        <f t="shared" si="4"/>
        <v>96.068296150271408</v>
      </c>
      <c r="I20" s="11">
        <f t="shared" si="5"/>
        <v>0.37402455252644412</v>
      </c>
      <c r="J20" s="36"/>
      <c r="K20" s="21"/>
      <c r="L20" s="22"/>
    </row>
    <row r="21" spans="1:12" ht="15" customHeight="1" x14ac:dyDescent="0.45">
      <c r="A21" s="13">
        <v>20</v>
      </c>
      <c r="B21" s="11">
        <f>Main!B22-Main!Q22</f>
        <v>259.53431375707078</v>
      </c>
      <c r="C21" s="11">
        <v>0</v>
      </c>
      <c r="D21" s="11">
        <f t="shared" si="0"/>
        <v>2.8837145973007865</v>
      </c>
      <c r="E21" s="11">
        <f t="shared" si="1"/>
        <v>29.487109402618998</v>
      </c>
      <c r="F21" s="11">
        <f t="shared" si="2"/>
        <v>85.032407816537685</v>
      </c>
      <c r="G21" s="11">
        <f t="shared" si="3"/>
        <v>-0.36963025938590233</v>
      </c>
      <c r="H21" s="11">
        <f t="shared" si="4"/>
        <v>95.93173571356823</v>
      </c>
      <c r="I21" s="11">
        <f t="shared" si="5"/>
        <v>0.36963025938590233</v>
      </c>
      <c r="J21" s="36"/>
      <c r="K21" s="21"/>
      <c r="L21" s="22"/>
    </row>
    <row r="22" spans="1:12" ht="15" customHeight="1" x14ac:dyDescent="0.45">
      <c r="A22" s="13">
        <v>21</v>
      </c>
      <c r="B22" s="11">
        <f>Main!B23-Main!Q23</f>
        <v>282.58190945932751</v>
      </c>
      <c r="C22" s="11">
        <v>0</v>
      </c>
      <c r="D22" s="11">
        <f t="shared" si="0"/>
        <v>3.1397989939925282</v>
      </c>
      <c r="E22" s="11">
        <f t="shared" si="1"/>
        <v>27.312461166690568</v>
      </c>
      <c r="F22" s="11">
        <f t="shared" si="2"/>
        <v>85.755638094635032</v>
      </c>
      <c r="G22" s="11">
        <f t="shared" si="3"/>
        <v>-0.33594164389122705</v>
      </c>
      <c r="H22" s="11">
        <f t="shared" si="4"/>
        <v>94.931031197688355</v>
      </c>
      <c r="I22" s="11">
        <f t="shared" si="5"/>
        <v>0.33594164389122699</v>
      </c>
      <c r="J22" s="36"/>
      <c r="K22" s="21"/>
      <c r="L22" s="22"/>
    </row>
    <row r="23" spans="1:12" ht="15" customHeight="1" x14ac:dyDescent="0.45">
      <c r="A23" s="13">
        <v>22</v>
      </c>
      <c r="B23" s="11">
        <f>Main!B24-Main!Q24</f>
        <v>262.69136836523916</v>
      </c>
      <c r="C23" s="11">
        <v>0</v>
      </c>
      <c r="D23" s="11">
        <f t="shared" si="0"/>
        <v>2.9187929818359906</v>
      </c>
      <c r="E23" s="11">
        <f t="shared" si="1"/>
        <v>29.170159621343448</v>
      </c>
      <c r="F23" s="11">
        <f t="shared" si="2"/>
        <v>85.141657181812846</v>
      </c>
      <c r="G23" s="11">
        <f t="shared" si="3"/>
        <v>-0.3645992483500215</v>
      </c>
      <c r="H23" s="11">
        <f t="shared" si="4"/>
        <v>95.777075454004816</v>
      </c>
      <c r="I23" s="11">
        <f t="shared" si="5"/>
        <v>0.3645992483500215</v>
      </c>
      <c r="J23" s="36"/>
      <c r="K23" s="21"/>
      <c r="L23" s="22"/>
    </row>
    <row r="24" spans="1:12" ht="15" customHeight="1" x14ac:dyDescent="0.45">
      <c r="A24" s="13">
        <v>23</v>
      </c>
      <c r="B24" s="11">
        <f>Main!B25-Main!Q25</f>
        <v>241.08064321506086</v>
      </c>
      <c r="C24" s="11">
        <v>0</v>
      </c>
      <c r="D24" s="11">
        <f t="shared" si="0"/>
        <v>2.678673813500676</v>
      </c>
      <c r="E24" s="11">
        <f t="shared" si="1"/>
        <v>31.476818911883328</v>
      </c>
      <c r="F24" s="11">
        <f t="shared" si="2"/>
        <v>84.316130551564711</v>
      </c>
      <c r="G24" s="11">
        <f t="shared" si="3"/>
        <v>-0.40226427562508221</v>
      </c>
      <c r="H24" s="11">
        <f t="shared" si="4"/>
        <v>96.978130310135342</v>
      </c>
      <c r="I24" s="11">
        <f t="shared" si="5"/>
        <v>0.40226427562508221</v>
      </c>
      <c r="J24" s="36"/>
      <c r="K24" s="21"/>
      <c r="L24" s="22"/>
    </row>
    <row r="25" spans="1:12" ht="15" customHeight="1" x14ac:dyDescent="0.45">
      <c r="A25" s="13">
        <v>24</v>
      </c>
      <c r="B25" s="11">
        <f>Main!B26-Main!Q26</f>
        <v>219.76854508707422</v>
      </c>
      <c r="C25" s="11">
        <v>0</v>
      </c>
      <c r="D25" s="11">
        <f t="shared" si="0"/>
        <v>2.4418727231897135</v>
      </c>
      <c r="E25" s="11">
        <f t="shared" si="1"/>
        <v>34.1076930244392</v>
      </c>
      <c r="F25" s="11">
        <f t="shared" si="2"/>
        <v>83.28664524730614</v>
      </c>
      <c r="G25" s="11">
        <f t="shared" si="3"/>
        <v>-0.44859562111245915</v>
      </c>
      <c r="H25" s="11">
        <f t="shared" si="4"/>
        <v>98.587206984317532</v>
      </c>
      <c r="I25" s="11">
        <f t="shared" si="5"/>
        <v>0.4485956211124591</v>
      </c>
      <c r="J25" s="36"/>
      <c r="K25" s="21"/>
      <c r="L25" s="22"/>
    </row>
    <row r="26" spans="1:12" ht="15" customHeight="1" x14ac:dyDescent="0.45">
      <c r="A26" s="13">
        <v>25</v>
      </c>
      <c r="B26" s="11">
        <f>Main!B27-Main!Q27</f>
        <v>200.70138012295266</v>
      </c>
      <c r="C26" s="11">
        <v>0</v>
      </c>
      <c r="D26" s="11">
        <f t="shared" si="0"/>
        <v>2.2300153346994742</v>
      </c>
      <c r="E26" s="11">
        <f t="shared" si="1"/>
        <v>36.825393916804181</v>
      </c>
      <c r="F26" s="11">
        <f t="shared" si="2"/>
        <v>82.121193140822058</v>
      </c>
      <c r="G26" s="11">
        <f t="shared" si="3"/>
        <v>-0.50111791875056888</v>
      </c>
      <c r="H26" s="11">
        <f t="shared" si="4"/>
        <v>100.57505789758083</v>
      </c>
      <c r="I26" s="11">
        <f t="shared" si="5"/>
        <v>0.50111791875056888</v>
      </c>
      <c r="J26" s="36"/>
      <c r="K26" s="21"/>
      <c r="L26" s="22"/>
    </row>
    <row r="27" spans="1:12" ht="15" customHeight="1" x14ac:dyDescent="0.45">
      <c r="A27" s="13">
        <v>26</v>
      </c>
      <c r="B27" s="11">
        <f>Main!B28-Main!Q28</f>
        <v>185.54787931070894</v>
      </c>
      <c r="C27" s="11">
        <v>0</v>
      </c>
      <c r="D27" s="11">
        <f t="shared" si="0"/>
        <v>2.0616431034523215</v>
      </c>
      <c r="E27" s="11">
        <f t="shared" si="1"/>
        <v>39.277827639943972</v>
      </c>
      <c r="F27" s="11">
        <f t="shared" si="2"/>
        <v>80.976862472479468</v>
      </c>
      <c r="G27" s="11">
        <f t="shared" si="3"/>
        <v>-0.55361204530608876</v>
      </c>
      <c r="H27" s="11">
        <f t="shared" si="4"/>
        <v>102.72154096740887</v>
      </c>
      <c r="I27" s="11">
        <f t="shared" si="5"/>
        <v>0.55361204530608865</v>
      </c>
      <c r="J27" s="36"/>
      <c r="K27" s="21"/>
      <c r="L27" s="22"/>
    </row>
    <row r="28" spans="1:12" ht="15" customHeight="1" x14ac:dyDescent="0.45">
      <c r="A28" s="13">
        <v>27</v>
      </c>
      <c r="B28" s="11">
        <f>Main!B29-Main!Q29</f>
        <v>175.61308849612576</v>
      </c>
      <c r="C28" s="11">
        <v>0</v>
      </c>
      <c r="D28" s="11">
        <f t="shared" si="0"/>
        <v>1.9512565388458416</v>
      </c>
      <c r="E28" s="11">
        <f t="shared" si="1"/>
        <v>41.047554286851998</v>
      </c>
      <c r="F28" s="11">
        <f t="shared" si="2"/>
        <v>80.094308705849613</v>
      </c>
      <c r="G28" s="11">
        <f t="shared" si="3"/>
        <v>-0.59520670858623037</v>
      </c>
      <c r="H28" s="11">
        <f t="shared" si="4"/>
        <v>104.52608838844139</v>
      </c>
      <c r="I28" s="11">
        <f t="shared" si="5"/>
        <v>0.59520670858623026</v>
      </c>
      <c r="J28" s="36"/>
      <c r="K28" s="21"/>
      <c r="L28" s="22"/>
    </row>
    <row r="29" spans="1:12" ht="15" customHeight="1" x14ac:dyDescent="0.45">
      <c r="A29" s="13">
        <v>28</v>
      </c>
      <c r="B29" s="11">
        <f>Main!B30-Main!Q30</f>
        <v>171.78283847824386</v>
      </c>
      <c r="C29" s="11">
        <v>0</v>
      </c>
      <c r="D29" s="11">
        <f t="shared" si="0"/>
        <v>1.9086982053138206</v>
      </c>
      <c r="E29" s="11">
        <f t="shared" si="1"/>
        <v>41.767371202392802</v>
      </c>
      <c r="F29" s="11">
        <f t="shared" si="2"/>
        <v>79.721306454683301</v>
      </c>
      <c r="G29" s="11">
        <f t="shared" si="3"/>
        <v>-0.61316786475520102</v>
      </c>
      <c r="H29" s="11">
        <f t="shared" si="4"/>
        <v>105.33171627129236</v>
      </c>
      <c r="I29" s="11">
        <f t="shared" si="5"/>
        <v>0.61316786475520102</v>
      </c>
      <c r="J29" s="36"/>
      <c r="K29" s="21"/>
      <c r="L29" s="22"/>
    </row>
    <row r="30" spans="1:12" ht="15" customHeight="1" x14ac:dyDescent="0.45">
      <c r="A30" s="13">
        <v>29</v>
      </c>
      <c r="B30" s="11">
        <f>Main!B31-Main!Q31</f>
        <v>174.39537524732359</v>
      </c>
      <c r="C30" s="11">
        <v>0</v>
      </c>
      <c r="D30" s="11">
        <f t="shared" si="0"/>
        <v>1.9377263916369287</v>
      </c>
      <c r="E30" s="11">
        <f t="shared" si="1"/>
        <v>41.274054454815371</v>
      </c>
      <c r="F30" s="11">
        <f t="shared" si="2"/>
        <v>79.977824606955494</v>
      </c>
      <c r="G30" s="11">
        <f t="shared" si="3"/>
        <v>-0.60078899556303433</v>
      </c>
      <c r="H30" s="11">
        <f t="shared" si="4"/>
        <v>104.774822325678</v>
      </c>
      <c r="I30" s="11">
        <f t="shared" si="5"/>
        <v>0.60078899556303433</v>
      </c>
      <c r="J30" s="36"/>
      <c r="K30" s="21"/>
      <c r="L30" s="22"/>
    </row>
    <row r="31" spans="1:12" ht="15" customHeight="1" x14ac:dyDescent="0.45">
      <c r="A31" s="13">
        <v>30</v>
      </c>
      <c r="B31" s="11">
        <f>Main!B32-Main!Q32</f>
        <v>182.42951160196699</v>
      </c>
      <c r="C31" s="11">
        <v>0</v>
      </c>
      <c r="D31" s="11">
        <f t="shared" si="0"/>
        <v>2.0269945733551888</v>
      </c>
      <c r="E31" s="11">
        <f t="shared" si="1"/>
        <v>39.818694012597014</v>
      </c>
      <c r="F31" s="11">
        <f t="shared" si="2"/>
        <v>80.7122766816249</v>
      </c>
      <c r="G31" s="11">
        <f t="shared" si="3"/>
        <v>-0.56596181163497572</v>
      </c>
      <c r="H31" s="11">
        <f t="shared" si="4"/>
        <v>103.24813688193306</v>
      </c>
      <c r="I31" s="11">
        <f t="shared" si="5"/>
        <v>0.56596181163497572</v>
      </c>
      <c r="J31" s="36"/>
      <c r="K31" s="21"/>
      <c r="L31" s="22"/>
    </row>
    <row r="32" spans="1:12" ht="15" customHeight="1" x14ac:dyDescent="0.45">
      <c r="A32" s="13">
        <v>31</v>
      </c>
      <c r="B32" s="11">
        <f>Main!B33-Main!Q33</f>
        <v>194.17628495781292</v>
      </c>
      <c r="C32" s="11">
        <v>0</v>
      </c>
      <c r="D32" s="11">
        <f t="shared" si="0"/>
        <v>2.1575142773090326</v>
      </c>
      <c r="E32" s="11">
        <f t="shared" si="1"/>
        <v>37.846984215075182</v>
      </c>
      <c r="F32" s="11">
        <f t="shared" si="2"/>
        <v>81.655408797114291</v>
      </c>
      <c r="G32" s="11">
        <f t="shared" si="3"/>
        <v>-0.52232952114005782</v>
      </c>
      <c r="H32" s="11">
        <f t="shared" si="4"/>
        <v>101.42400593876984</v>
      </c>
      <c r="I32" s="11">
        <f t="shared" si="5"/>
        <v>0.52232952114005782</v>
      </c>
      <c r="J32" s="36"/>
      <c r="K32" s="21"/>
      <c r="L32" s="22"/>
    </row>
    <row r="33" spans="1:12" ht="15" customHeight="1" x14ac:dyDescent="0.45">
      <c r="A33" s="13">
        <v>32</v>
      </c>
      <c r="B33" s="11">
        <f>Main!B34-Main!Q34</f>
        <v>207.5556696405894</v>
      </c>
      <c r="C33" s="11">
        <v>0</v>
      </c>
      <c r="D33" s="11">
        <f t="shared" si="0"/>
        <v>2.30617410711766</v>
      </c>
      <c r="E33" s="11">
        <f t="shared" si="1"/>
        <v>35.804499768434347</v>
      </c>
      <c r="F33" s="11">
        <f t="shared" si="2"/>
        <v>82.57141028426355</v>
      </c>
      <c r="G33" s="11">
        <f t="shared" si="3"/>
        <v>-0.48076185068041472</v>
      </c>
      <c r="H33" s="11">
        <f t="shared" si="4"/>
        <v>99.78484785562253</v>
      </c>
      <c r="I33" s="11">
        <f t="shared" si="5"/>
        <v>0.48076185068041472</v>
      </c>
      <c r="J33" s="36"/>
      <c r="K33" s="21"/>
      <c r="L33" s="22"/>
    </row>
    <row r="34" spans="1:12" ht="15" customHeight="1" x14ac:dyDescent="0.45">
      <c r="A34" s="13">
        <v>33</v>
      </c>
      <c r="B34" s="11">
        <f>Main!B35-Main!Q35</f>
        <v>220.3907726081404</v>
      </c>
      <c r="C34" s="11">
        <v>0</v>
      </c>
      <c r="D34" s="11">
        <f t="shared" ref="D34:D65" si="6">(1/(90/B34))</f>
        <v>2.4487863623126711</v>
      </c>
      <c r="E34" s="11">
        <f t="shared" ref="E34:E65" si="7">SQRT((8100)/((D34^2)+1))</f>
        <v>34.025177080243921</v>
      </c>
      <c r="F34" s="11">
        <f t="shared" ref="F34:F65" si="8">D34*E34</f>
        <v>83.320389609374985</v>
      </c>
      <c r="G34" s="11">
        <f t="shared" ref="G34:G65" si="9">(F34-C34)/(E34-B34)</f>
        <v>-0.44708031744465959</v>
      </c>
      <c r="H34" s="11">
        <f t="shared" ref="H34:H65" si="10">(-(G34*E34))+F34</f>
        <v>98.532376579521198</v>
      </c>
      <c r="I34" s="11">
        <f t="shared" ref="I34:I65" si="11">H34/B34</f>
        <v>0.44708031744465959</v>
      </c>
      <c r="J34" s="36"/>
      <c r="K34" s="21"/>
      <c r="L34" s="22"/>
    </row>
    <row r="35" spans="1:12" ht="15" customHeight="1" x14ac:dyDescent="0.45">
      <c r="A35" s="13">
        <v>34</v>
      </c>
      <c r="B35" s="11">
        <f>Main!B36-Main!Q36</f>
        <v>230.93352613091642</v>
      </c>
      <c r="C35" s="11">
        <v>0</v>
      </c>
      <c r="D35" s="11">
        <f t="shared" si="6"/>
        <v>2.5659280681212935</v>
      </c>
      <c r="E35" s="11">
        <f t="shared" si="7"/>
        <v>32.680878606050449</v>
      </c>
      <c r="F35" s="11">
        <f t="shared" si="8"/>
        <v>83.856783706129534</v>
      </c>
      <c r="G35" s="11">
        <f t="shared" si="9"/>
        <v>-0.42297938894163689</v>
      </c>
      <c r="H35" s="11">
        <f t="shared" si="10"/>
        <v>97.680121768992564</v>
      </c>
      <c r="I35" s="11">
        <f t="shared" si="11"/>
        <v>0.42297938894163689</v>
      </c>
      <c r="J35" s="36"/>
      <c r="K35" s="21"/>
      <c r="L35" s="22"/>
    </row>
    <row r="36" spans="1:12" ht="15" customHeight="1" x14ac:dyDescent="0.45">
      <c r="A36" s="13">
        <v>35</v>
      </c>
      <c r="B36" s="11">
        <f>Main!B37-Main!Q37</f>
        <v>238.3574554561431</v>
      </c>
      <c r="C36" s="11">
        <v>0</v>
      </c>
      <c r="D36" s="11">
        <f t="shared" si="6"/>
        <v>2.6484161717349233</v>
      </c>
      <c r="E36" s="11">
        <f t="shared" si="7"/>
        <v>31.791784660986178</v>
      </c>
      <c r="F36" s="11">
        <f t="shared" si="8"/>
        <v>84.197876624470069</v>
      </c>
      <c r="G36" s="11">
        <f t="shared" si="9"/>
        <v>-0.40760827440666941</v>
      </c>
      <c r="H36" s="11">
        <f t="shared" si="10"/>
        <v>97.156471110443064</v>
      </c>
      <c r="I36" s="11">
        <f t="shared" si="11"/>
        <v>0.40760827440666941</v>
      </c>
      <c r="J36" s="36"/>
      <c r="K36" s="21"/>
      <c r="L36" s="22"/>
    </row>
    <row r="37" spans="1:12" ht="15" customHeight="1" x14ac:dyDescent="0.45">
      <c r="A37" s="13">
        <v>36</v>
      </c>
      <c r="B37" s="11">
        <f>Main!B38-Main!Q38</f>
        <v>242.81708327001223</v>
      </c>
      <c r="C37" s="11">
        <v>0</v>
      </c>
      <c r="D37" s="11">
        <f t="shared" si="6"/>
        <v>2.6979675918890251</v>
      </c>
      <c r="E37" s="11">
        <f t="shared" si="7"/>
        <v>31.278995974899143</v>
      </c>
      <c r="F37" s="11">
        <f t="shared" si="8"/>
        <v>84.389717447105156</v>
      </c>
      <c r="G37" s="11">
        <f t="shared" si="9"/>
        <v>-0.39893391552403767</v>
      </c>
      <c r="H37" s="11">
        <f t="shared" si="10"/>
        <v>96.867969785032287</v>
      </c>
      <c r="I37" s="11">
        <f t="shared" si="11"/>
        <v>0.39893391552403767</v>
      </c>
      <c r="J37" s="36"/>
      <c r="K37" s="21"/>
      <c r="L37" s="22"/>
    </row>
    <row r="38" spans="1:12" ht="15" customHeight="1" x14ac:dyDescent="0.45">
      <c r="A38" s="13">
        <v>37</v>
      </c>
      <c r="B38" s="11">
        <f>Main!B39-Main!Q39</f>
        <v>245.19515399007409</v>
      </c>
      <c r="C38" s="11">
        <v>0</v>
      </c>
      <c r="D38" s="11">
        <f t="shared" si="6"/>
        <v>2.7243905998897122</v>
      </c>
      <c r="E38" s="11">
        <f t="shared" si="7"/>
        <v>31.011805341480493</v>
      </c>
      <c r="F38" s="11">
        <f t="shared" si="8"/>
        <v>84.488270957939022</v>
      </c>
      <c r="G38" s="11">
        <f t="shared" si="9"/>
        <v>-0.39446703719511483</v>
      </c>
      <c r="H38" s="11">
        <f t="shared" si="10"/>
        <v>96.721405929064474</v>
      </c>
      <c r="I38" s="11">
        <f t="shared" si="11"/>
        <v>0.39446703719511489</v>
      </c>
      <c r="J38" s="36"/>
      <c r="K38" s="21"/>
      <c r="L38" s="22"/>
    </row>
    <row r="39" spans="1:12" ht="15" customHeight="1" x14ac:dyDescent="0.45">
      <c r="A39" s="13">
        <v>38</v>
      </c>
      <c r="B39" s="11">
        <f>Main!B40-Main!Q40</f>
        <v>246.67857726556667</v>
      </c>
      <c r="C39" s="11">
        <v>0</v>
      </c>
      <c r="D39" s="11">
        <f t="shared" si="6"/>
        <v>2.7408730807285187</v>
      </c>
      <c r="E39" s="11">
        <f t="shared" si="7"/>
        <v>30.847279911552491</v>
      </c>
      <c r="F39" s="11">
        <f t="shared" si="8"/>
        <v>84.548479123271818</v>
      </c>
      <c r="G39" s="11">
        <f t="shared" si="9"/>
        <v>-0.39173410047474438</v>
      </c>
      <c r="H39" s="11">
        <f t="shared" si="10"/>
        <v>96.632410571516488</v>
      </c>
      <c r="I39" s="11">
        <f t="shared" si="11"/>
        <v>0.39173410047474438</v>
      </c>
      <c r="J39" s="36"/>
      <c r="K39" s="21"/>
      <c r="L39" s="22"/>
    </row>
    <row r="40" spans="1:12" ht="15" customHeight="1" x14ac:dyDescent="0.45">
      <c r="A40" s="13">
        <v>39</v>
      </c>
      <c r="B40" s="11">
        <f>Main!B41-Main!Q41</f>
        <v>248.3899320489441</v>
      </c>
      <c r="C40" s="11">
        <v>0</v>
      </c>
      <c r="D40" s="11">
        <f t="shared" si="6"/>
        <v>2.759888133877157</v>
      </c>
      <c r="E40" s="11">
        <f t="shared" si="7"/>
        <v>30.659488396951303</v>
      </c>
      <c r="F40" s="11">
        <f t="shared" si="8"/>
        <v>84.616758217490286</v>
      </c>
      <c r="G40" s="11">
        <f t="shared" si="9"/>
        <v>-0.38863080788434257</v>
      </c>
      <c r="H40" s="11">
        <f t="shared" si="10"/>
        <v>96.531979962518093</v>
      </c>
      <c r="I40" s="11">
        <f t="shared" si="11"/>
        <v>0.38863080788434251</v>
      </c>
      <c r="J40" s="36"/>
      <c r="K40" s="21"/>
      <c r="L40" s="22"/>
    </row>
    <row r="41" spans="1:12" ht="15" customHeight="1" x14ac:dyDescent="0.45">
      <c r="A41" s="13">
        <v>40</v>
      </c>
      <c r="B41" s="11">
        <f>Main!B42-Main!Q42</f>
        <v>251.17349108929352</v>
      </c>
      <c r="C41" s="11">
        <v>0</v>
      </c>
      <c r="D41" s="11">
        <f t="shared" si="6"/>
        <v>2.7908165676588168</v>
      </c>
      <c r="E41" s="11">
        <f t="shared" si="7"/>
        <v>30.358565673139175</v>
      </c>
      <c r="F41" s="11">
        <f t="shared" si="8"/>
        <v>84.725188050955055</v>
      </c>
      <c r="G41" s="11">
        <f t="shared" si="9"/>
        <v>-0.38369321227394143</v>
      </c>
      <c r="H41" s="11">
        <f t="shared" si="10"/>
        <v>96.373563634111235</v>
      </c>
      <c r="I41" s="11">
        <f t="shared" si="11"/>
        <v>0.38369321227394143</v>
      </c>
      <c r="J41" s="36"/>
      <c r="K41" s="21"/>
      <c r="L41" s="22"/>
    </row>
    <row r="42" spans="1:12" ht="15" customHeight="1" x14ac:dyDescent="0.45">
      <c r="A42" s="13">
        <v>41</v>
      </c>
      <c r="B42" s="11">
        <f>Main!B43-Main!Q43</f>
        <v>282.58190945932751</v>
      </c>
      <c r="C42" s="11">
        <v>0</v>
      </c>
      <c r="D42" s="11">
        <f t="shared" si="6"/>
        <v>3.1397989939925282</v>
      </c>
      <c r="E42" s="11">
        <f t="shared" si="7"/>
        <v>27.312461166690568</v>
      </c>
      <c r="F42" s="11">
        <f t="shared" si="8"/>
        <v>85.755638094635032</v>
      </c>
      <c r="G42" s="11">
        <f t="shared" si="9"/>
        <v>-0.33594164389122705</v>
      </c>
      <c r="H42" s="11">
        <f t="shared" si="10"/>
        <v>94.931031197688355</v>
      </c>
      <c r="I42" s="11">
        <f t="shared" si="11"/>
        <v>0.33594164389122699</v>
      </c>
      <c r="J42" s="36"/>
      <c r="K42" s="21"/>
      <c r="L42" s="22"/>
    </row>
    <row r="43" spans="1:12" ht="15" customHeight="1" x14ac:dyDescent="0.45">
      <c r="A43" s="13">
        <v>42</v>
      </c>
      <c r="B43" s="11">
        <f>Main!B44-Main!Q44</f>
        <v>262.69136836523916</v>
      </c>
      <c r="C43" s="11">
        <v>0</v>
      </c>
      <c r="D43" s="11">
        <f t="shared" si="6"/>
        <v>2.9187929818359906</v>
      </c>
      <c r="E43" s="11">
        <f t="shared" si="7"/>
        <v>29.170159621343448</v>
      </c>
      <c r="F43" s="11">
        <f t="shared" si="8"/>
        <v>85.141657181812846</v>
      </c>
      <c r="G43" s="11">
        <f t="shared" si="9"/>
        <v>-0.3645992483500215</v>
      </c>
      <c r="H43" s="11">
        <f t="shared" si="10"/>
        <v>95.777075454004816</v>
      </c>
      <c r="I43" s="11">
        <f t="shared" si="11"/>
        <v>0.3645992483500215</v>
      </c>
      <c r="J43" s="36"/>
      <c r="K43" s="21"/>
      <c r="L43" s="22"/>
    </row>
    <row r="44" spans="1:12" ht="15" customHeight="1" x14ac:dyDescent="0.45">
      <c r="A44" s="13">
        <v>43</v>
      </c>
      <c r="B44" s="11">
        <f>Main!B45-Main!Q45</f>
        <v>241.08064321506086</v>
      </c>
      <c r="C44" s="11">
        <v>0</v>
      </c>
      <c r="D44" s="11">
        <f t="shared" si="6"/>
        <v>2.678673813500676</v>
      </c>
      <c r="E44" s="11">
        <f t="shared" si="7"/>
        <v>31.476818911883328</v>
      </c>
      <c r="F44" s="11">
        <f t="shared" si="8"/>
        <v>84.316130551564711</v>
      </c>
      <c r="G44" s="11">
        <f t="shared" si="9"/>
        <v>-0.40226427562508221</v>
      </c>
      <c r="H44" s="11">
        <f t="shared" si="10"/>
        <v>96.978130310135342</v>
      </c>
      <c r="I44" s="11">
        <f t="shared" si="11"/>
        <v>0.40226427562508221</v>
      </c>
      <c r="J44" s="36"/>
      <c r="K44" s="21"/>
      <c r="L44" s="22"/>
    </row>
    <row r="45" spans="1:12" ht="15" customHeight="1" x14ac:dyDescent="0.45">
      <c r="A45" s="13">
        <v>44</v>
      </c>
      <c r="B45" s="11">
        <f>Main!B46-Main!Q46</f>
        <v>219.76854508707422</v>
      </c>
      <c r="C45" s="11">
        <v>0</v>
      </c>
      <c r="D45" s="11">
        <f t="shared" si="6"/>
        <v>2.4418727231897135</v>
      </c>
      <c r="E45" s="11">
        <f t="shared" si="7"/>
        <v>34.1076930244392</v>
      </c>
      <c r="F45" s="11">
        <f t="shared" si="8"/>
        <v>83.28664524730614</v>
      </c>
      <c r="G45" s="11">
        <f t="shared" si="9"/>
        <v>-0.44859562111245915</v>
      </c>
      <c r="H45" s="11">
        <f t="shared" si="10"/>
        <v>98.587206984317532</v>
      </c>
      <c r="I45" s="11">
        <f t="shared" si="11"/>
        <v>0.4485956211124591</v>
      </c>
      <c r="J45" s="36"/>
      <c r="K45" s="21"/>
      <c r="L45" s="22"/>
    </row>
    <row r="46" spans="1:12" ht="15" customHeight="1" x14ac:dyDescent="0.45">
      <c r="A46" s="13">
        <v>45</v>
      </c>
      <c r="B46" s="11">
        <f>Main!B47-Main!Q47</f>
        <v>200.70138012295266</v>
      </c>
      <c r="C46" s="11">
        <v>0</v>
      </c>
      <c r="D46" s="11">
        <f t="shared" si="6"/>
        <v>2.2300153346994742</v>
      </c>
      <c r="E46" s="11">
        <f t="shared" si="7"/>
        <v>36.825393916804181</v>
      </c>
      <c r="F46" s="11">
        <f t="shared" si="8"/>
        <v>82.121193140822058</v>
      </c>
      <c r="G46" s="11">
        <f t="shared" si="9"/>
        <v>-0.50111791875056888</v>
      </c>
      <c r="H46" s="11">
        <f t="shared" si="10"/>
        <v>100.57505789758083</v>
      </c>
      <c r="I46" s="11">
        <f t="shared" si="11"/>
        <v>0.50111791875056888</v>
      </c>
      <c r="J46" s="36"/>
      <c r="K46" s="21"/>
      <c r="L46" s="22"/>
    </row>
    <row r="47" spans="1:12" ht="15" customHeight="1" x14ac:dyDescent="0.45">
      <c r="A47" s="13">
        <v>46</v>
      </c>
      <c r="B47" s="11">
        <f>Main!B48-Main!Q48</f>
        <v>185.54787931070894</v>
      </c>
      <c r="C47" s="11">
        <v>0</v>
      </c>
      <c r="D47" s="11">
        <f t="shared" si="6"/>
        <v>2.0616431034523215</v>
      </c>
      <c r="E47" s="11">
        <f t="shared" si="7"/>
        <v>39.277827639943972</v>
      </c>
      <c r="F47" s="11">
        <f t="shared" si="8"/>
        <v>80.976862472479468</v>
      </c>
      <c r="G47" s="11">
        <f t="shared" si="9"/>
        <v>-0.55361204530608876</v>
      </c>
      <c r="H47" s="11">
        <f t="shared" si="10"/>
        <v>102.72154096740887</v>
      </c>
      <c r="I47" s="11">
        <f t="shared" si="11"/>
        <v>0.55361204530608865</v>
      </c>
      <c r="J47" s="36"/>
      <c r="K47" s="21"/>
      <c r="L47" s="22"/>
    </row>
    <row r="48" spans="1:12" ht="15" customHeight="1" x14ac:dyDescent="0.45">
      <c r="A48" s="13">
        <v>47</v>
      </c>
      <c r="B48" s="11">
        <f>Main!B49-Main!Q49</f>
        <v>175.61308849612576</v>
      </c>
      <c r="C48" s="11">
        <v>0</v>
      </c>
      <c r="D48" s="11">
        <f t="shared" si="6"/>
        <v>1.9512565388458416</v>
      </c>
      <c r="E48" s="11">
        <f t="shared" si="7"/>
        <v>41.047554286851998</v>
      </c>
      <c r="F48" s="11">
        <f t="shared" si="8"/>
        <v>80.094308705849613</v>
      </c>
      <c r="G48" s="11">
        <f t="shared" si="9"/>
        <v>-0.59520670858623037</v>
      </c>
      <c r="H48" s="11">
        <f t="shared" si="10"/>
        <v>104.52608838844139</v>
      </c>
      <c r="I48" s="11">
        <f t="shared" si="11"/>
        <v>0.59520670858623026</v>
      </c>
      <c r="J48" s="36"/>
      <c r="K48" s="21"/>
      <c r="L48" s="22"/>
    </row>
    <row r="49" spans="1:12" ht="15" customHeight="1" x14ac:dyDescent="0.45">
      <c r="A49" s="13">
        <v>48</v>
      </c>
      <c r="B49" s="11">
        <f>Main!B50-Main!Q50</f>
        <v>171.78283847824386</v>
      </c>
      <c r="C49" s="11">
        <v>0</v>
      </c>
      <c r="D49" s="11">
        <f t="shared" si="6"/>
        <v>1.9086982053138206</v>
      </c>
      <c r="E49" s="11">
        <f t="shared" si="7"/>
        <v>41.767371202392802</v>
      </c>
      <c r="F49" s="11">
        <f t="shared" si="8"/>
        <v>79.721306454683301</v>
      </c>
      <c r="G49" s="11">
        <f t="shared" si="9"/>
        <v>-0.61316786475520102</v>
      </c>
      <c r="H49" s="11">
        <f t="shared" si="10"/>
        <v>105.33171627129236</v>
      </c>
      <c r="I49" s="11">
        <f t="shared" si="11"/>
        <v>0.61316786475520102</v>
      </c>
      <c r="J49" s="36"/>
      <c r="K49" s="21"/>
      <c r="L49" s="22"/>
    </row>
    <row r="50" spans="1:12" ht="15" customHeight="1" x14ac:dyDescent="0.45">
      <c r="A50" s="13">
        <v>49</v>
      </c>
      <c r="B50" s="11">
        <f>Main!B51-Main!Q51</f>
        <v>174.39537524732359</v>
      </c>
      <c r="C50" s="11">
        <v>0</v>
      </c>
      <c r="D50" s="11">
        <f t="shared" si="6"/>
        <v>1.9377263916369287</v>
      </c>
      <c r="E50" s="11">
        <f t="shared" si="7"/>
        <v>41.274054454815371</v>
      </c>
      <c r="F50" s="11">
        <f t="shared" si="8"/>
        <v>79.977824606955494</v>
      </c>
      <c r="G50" s="11">
        <f t="shared" si="9"/>
        <v>-0.60078899556303433</v>
      </c>
      <c r="H50" s="11">
        <f t="shared" si="10"/>
        <v>104.774822325678</v>
      </c>
      <c r="I50" s="11">
        <f t="shared" si="11"/>
        <v>0.60078899556303433</v>
      </c>
      <c r="J50" s="36"/>
      <c r="K50" s="21"/>
      <c r="L50" s="22"/>
    </row>
    <row r="51" spans="1:12" ht="15" customHeight="1" x14ac:dyDescent="0.45">
      <c r="A51" s="13">
        <v>50</v>
      </c>
      <c r="B51" s="11">
        <f>Main!B52-Main!Q52</f>
        <v>182.42951160196699</v>
      </c>
      <c r="C51" s="11">
        <v>0</v>
      </c>
      <c r="D51" s="11">
        <f t="shared" si="6"/>
        <v>2.0269945733551888</v>
      </c>
      <c r="E51" s="11">
        <f t="shared" si="7"/>
        <v>39.818694012597014</v>
      </c>
      <c r="F51" s="11">
        <f t="shared" si="8"/>
        <v>80.7122766816249</v>
      </c>
      <c r="G51" s="11">
        <f t="shared" si="9"/>
        <v>-0.56596181163497572</v>
      </c>
      <c r="H51" s="11">
        <f t="shared" si="10"/>
        <v>103.24813688193306</v>
      </c>
      <c r="I51" s="11">
        <f t="shared" si="11"/>
        <v>0.56596181163497572</v>
      </c>
      <c r="J51" s="36"/>
      <c r="K51" s="21"/>
      <c r="L51" s="22"/>
    </row>
    <row r="52" spans="1:12" ht="15" customHeight="1" x14ac:dyDescent="0.45">
      <c r="A52" s="13">
        <v>51</v>
      </c>
      <c r="B52" s="11">
        <f>Main!B53-Main!Q53</f>
        <v>194.17628495781292</v>
      </c>
      <c r="C52" s="11">
        <v>0</v>
      </c>
      <c r="D52" s="11">
        <f t="shared" si="6"/>
        <v>2.1575142773090326</v>
      </c>
      <c r="E52" s="11">
        <f t="shared" si="7"/>
        <v>37.846984215075182</v>
      </c>
      <c r="F52" s="11">
        <f t="shared" si="8"/>
        <v>81.655408797114291</v>
      </c>
      <c r="G52" s="11">
        <f t="shared" si="9"/>
        <v>-0.52232952114005782</v>
      </c>
      <c r="H52" s="11">
        <f t="shared" si="10"/>
        <v>101.42400593876984</v>
      </c>
      <c r="I52" s="11">
        <f t="shared" si="11"/>
        <v>0.52232952114005782</v>
      </c>
      <c r="J52" s="36"/>
      <c r="K52" s="21"/>
      <c r="L52" s="22"/>
    </row>
    <row r="53" spans="1:12" ht="15" customHeight="1" x14ac:dyDescent="0.45">
      <c r="A53" s="13">
        <v>52</v>
      </c>
      <c r="B53" s="11">
        <f>Main!B54-Main!Q54</f>
        <v>207.5556696405894</v>
      </c>
      <c r="C53" s="11">
        <v>0</v>
      </c>
      <c r="D53" s="11">
        <f t="shared" si="6"/>
        <v>2.30617410711766</v>
      </c>
      <c r="E53" s="11">
        <f t="shared" si="7"/>
        <v>35.804499768434347</v>
      </c>
      <c r="F53" s="11">
        <f t="shared" si="8"/>
        <v>82.57141028426355</v>
      </c>
      <c r="G53" s="11">
        <f t="shared" si="9"/>
        <v>-0.48076185068041472</v>
      </c>
      <c r="H53" s="11">
        <f t="shared" si="10"/>
        <v>99.78484785562253</v>
      </c>
      <c r="I53" s="11">
        <f t="shared" si="11"/>
        <v>0.48076185068041472</v>
      </c>
      <c r="J53" s="36"/>
      <c r="K53" s="21"/>
      <c r="L53" s="22"/>
    </row>
    <row r="54" spans="1:12" ht="15" customHeight="1" x14ac:dyDescent="0.45">
      <c r="A54" s="13">
        <v>53</v>
      </c>
      <c r="B54" s="11">
        <f>Main!B55-Main!Q55</f>
        <v>220.3907726081404</v>
      </c>
      <c r="C54" s="11">
        <v>0</v>
      </c>
      <c r="D54" s="11">
        <f t="shared" si="6"/>
        <v>2.4487863623126711</v>
      </c>
      <c r="E54" s="11">
        <f t="shared" si="7"/>
        <v>34.025177080243921</v>
      </c>
      <c r="F54" s="11">
        <f t="shared" si="8"/>
        <v>83.320389609374985</v>
      </c>
      <c r="G54" s="11">
        <f t="shared" si="9"/>
        <v>-0.44708031744465959</v>
      </c>
      <c r="H54" s="11">
        <f t="shared" si="10"/>
        <v>98.532376579521198</v>
      </c>
      <c r="I54" s="11">
        <f t="shared" si="11"/>
        <v>0.44708031744465959</v>
      </c>
      <c r="J54" s="36"/>
      <c r="K54" s="21"/>
      <c r="L54" s="22"/>
    </row>
    <row r="55" spans="1:12" ht="15" customHeight="1" x14ac:dyDescent="0.45">
      <c r="A55" s="13">
        <v>54</v>
      </c>
      <c r="B55" s="11">
        <f>Main!B56-Main!Q56</f>
        <v>230.93352613091642</v>
      </c>
      <c r="C55" s="11">
        <v>0</v>
      </c>
      <c r="D55" s="11">
        <f t="shared" si="6"/>
        <v>2.5659280681212935</v>
      </c>
      <c r="E55" s="11">
        <f t="shared" si="7"/>
        <v>32.680878606050449</v>
      </c>
      <c r="F55" s="11">
        <f t="shared" si="8"/>
        <v>83.856783706129534</v>
      </c>
      <c r="G55" s="11">
        <f t="shared" si="9"/>
        <v>-0.42297938894163689</v>
      </c>
      <c r="H55" s="11">
        <f t="shared" si="10"/>
        <v>97.680121768992564</v>
      </c>
      <c r="I55" s="11">
        <f t="shared" si="11"/>
        <v>0.42297938894163689</v>
      </c>
      <c r="J55" s="36"/>
      <c r="K55" s="21"/>
      <c r="L55" s="22"/>
    </row>
    <row r="56" spans="1:12" ht="15" customHeight="1" x14ac:dyDescent="0.45">
      <c r="A56" s="13">
        <v>55</v>
      </c>
      <c r="B56" s="11">
        <f>Main!B57-Main!Q57</f>
        <v>238.3574554561431</v>
      </c>
      <c r="C56" s="11">
        <v>0</v>
      </c>
      <c r="D56" s="11">
        <f t="shared" si="6"/>
        <v>2.6484161717349233</v>
      </c>
      <c r="E56" s="11">
        <f t="shared" si="7"/>
        <v>31.791784660986178</v>
      </c>
      <c r="F56" s="11">
        <f t="shared" si="8"/>
        <v>84.197876624470069</v>
      </c>
      <c r="G56" s="11">
        <f t="shared" si="9"/>
        <v>-0.40760827440666941</v>
      </c>
      <c r="H56" s="11">
        <f t="shared" si="10"/>
        <v>97.156471110443064</v>
      </c>
      <c r="I56" s="11">
        <f t="shared" si="11"/>
        <v>0.40760827440666941</v>
      </c>
      <c r="J56" s="36"/>
      <c r="K56" s="21"/>
      <c r="L56" s="22"/>
    </row>
    <row r="57" spans="1:12" ht="15" customHeight="1" x14ac:dyDescent="0.45">
      <c r="A57" s="13">
        <v>56</v>
      </c>
      <c r="B57" s="11">
        <f>Main!B58-Main!Q58</f>
        <v>242.81708327001223</v>
      </c>
      <c r="C57" s="11">
        <v>0</v>
      </c>
      <c r="D57" s="11">
        <f t="shared" si="6"/>
        <v>2.6979675918890251</v>
      </c>
      <c r="E57" s="11">
        <f t="shared" si="7"/>
        <v>31.278995974899143</v>
      </c>
      <c r="F57" s="11">
        <f t="shared" si="8"/>
        <v>84.389717447105156</v>
      </c>
      <c r="G57" s="11">
        <f t="shared" si="9"/>
        <v>-0.39893391552403767</v>
      </c>
      <c r="H57" s="11">
        <f t="shared" si="10"/>
        <v>96.867969785032287</v>
      </c>
      <c r="I57" s="11">
        <f t="shared" si="11"/>
        <v>0.39893391552403767</v>
      </c>
      <c r="J57" s="36"/>
      <c r="K57" s="21"/>
      <c r="L57" s="22"/>
    </row>
    <row r="58" spans="1:12" ht="15" customHeight="1" x14ac:dyDescent="0.45">
      <c r="A58" s="13">
        <v>57</v>
      </c>
      <c r="B58" s="11">
        <f>Main!B59-Main!Q59</f>
        <v>245.19515399007409</v>
      </c>
      <c r="C58" s="11">
        <v>0</v>
      </c>
      <c r="D58" s="11">
        <f t="shared" si="6"/>
        <v>2.7243905998897122</v>
      </c>
      <c r="E58" s="11">
        <f t="shared" si="7"/>
        <v>31.011805341480493</v>
      </c>
      <c r="F58" s="11">
        <f t="shared" si="8"/>
        <v>84.488270957939022</v>
      </c>
      <c r="G58" s="11">
        <f t="shared" si="9"/>
        <v>-0.39446703719511483</v>
      </c>
      <c r="H58" s="11">
        <f t="shared" si="10"/>
        <v>96.721405929064474</v>
      </c>
      <c r="I58" s="11">
        <f t="shared" si="11"/>
        <v>0.39446703719511489</v>
      </c>
      <c r="J58" s="36"/>
      <c r="K58" s="21"/>
      <c r="L58" s="22"/>
    </row>
    <row r="59" spans="1:12" ht="15" customHeight="1" x14ac:dyDescent="0.45">
      <c r="A59" s="13">
        <v>58</v>
      </c>
      <c r="B59" s="11">
        <f>Main!B60-Main!Q60</f>
        <v>246.67857726556667</v>
      </c>
      <c r="C59" s="11">
        <v>0</v>
      </c>
      <c r="D59" s="11">
        <f t="shared" si="6"/>
        <v>2.7408730807285187</v>
      </c>
      <c r="E59" s="11">
        <f t="shared" si="7"/>
        <v>30.847279911552491</v>
      </c>
      <c r="F59" s="11">
        <f t="shared" si="8"/>
        <v>84.548479123271818</v>
      </c>
      <c r="G59" s="11">
        <f t="shared" si="9"/>
        <v>-0.39173410047474438</v>
      </c>
      <c r="H59" s="11">
        <f t="shared" si="10"/>
        <v>96.632410571516488</v>
      </c>
      <c r="I59" s="11">
        <f t="shared" si="11"/>
        <v>0.39173410047474438</v>
      </c>
      <c r="J59" s="36"/>
      <c r="K59" s="21"/>
      <c r="L59" s="22"/>
    </row>
    <row r="60" spans="1:12" ht="15" customHeight="1" x14ac:dyDescent="0.45">
      <c r="A60" s="13">
        <v>59</v>
      </c>
      <c r="B60" s="11">
        <f>Main!B61-Main!Q61</f>
        <v>248.3899320489441</v>
      </c>
      <c r="C60" s="11">
        <v>0</v>
      </c>
      <c r="D60" s="11">
        <f t="shared" si="6"/>
        <v>2.759888133877157</v>
      </c>
      <c r="E60" s="11">
        <f t="shared" si="7"/>
        <v>30.659488396951303</v>
      </c>
      <c r="F60" s="11">
        <f t="shared" si="8"/>
        <v>84.616758217490286</v>
      </c>
      <c r="G60" s="11">
        <f t="shared" si="9"/>
        <v>-0.38863080788434257</v>
      </c>
      <c r="H60" s="11">
        <f t="shared" si="10"/>
        <v>96.531979962518093</v>
      </c>
      <c r="I60" s="11">
        <f t="shared" si="11"/>
        <v>0.38863080788434251</v>
      </c>
      <c r="J60" s="36"/>
      <c r="K60" s="21"/>
      <c r="L60" s="22"/>
    </row>
    <row r="61" spans="1:12" ht="15" customHeight="1" x14ac:dyDescent="0.45">
      <c r="A61" s="13">
        <v>60</v>
      </c>
      <c r="B61" s="11">
        <f>Main!B62-Main!Q62</f>
        <v>251.17349108929352</v>
      </c>
      <c r="C61" s="11">
        <v>0</v>
      </c>
      <c r="D61" s="11">
        <f t="shared" si="6"/>
        <v>2.7908165676588168</v>
      </c>
      <c r="E61" s="11">
        <f t="shared" si="7"/>
        <v>30.358565673139175</v>
      </c>
      <c r="F61" s="11">
        <f t="shared" si="8"/>
        <v>84.725188050955055</v>
      </c>
      <c r="G61" s="11">
        <f t="shared" si="9"/>
        <v>-0.38369321227394143</v>
      </c>
      <c r="H61" s="11">
        <f t="shared" si="10"/>
        <v>96.373563634111235</v>
      </c>
      <c r="I61" s="11">
        <f t="shared" si="11"/>
        <v>0.38369321227394143</v>
      </c>
      <c r="J61" s="36"/>
      <c r="K61" s="21"/>
      <c r="L61" s="22"/>
    </row>
    <row r="62" spans="1:12" ht="15" customHeight="1" x14ac:dyDescent="0.45">
      <c r="A62" s="13">
        <v>61</v>
      </c>
      <c r="B62" s="11">
        <f>Main!B63-Main!Q63</f>
        <v>289.96241526388332</v>
      </c>
      <c r="C62" s="11">
        <v>0</v>
      </c>
      <c r="D62" s="11">
        <f t="shared" si="6"/>
        <v>3.221804614043148</v>
      </c>
      <c r="E62" s="11">
        <f t="shared" si="7"/>
        <v>26.679083231929091</v>
      </c>
      <c r="F62" s="11">
        <f t="shared" si="8"/>
        <v>85.95479345507033</v>
      </c>
      <c r="G62" s="11">
        <f t="shared" si="9"/>
        <v>-0.32647259813864005</v>
      </c>
      <c r="H62" s="11">
        <f t="shared" si="10"/>
        <v>94.664783073755245</v>
      </c>
      <c r="I62" s="11">
        <f t="shared" si="11"/>
        <v>0.32647259813864005</v>
      </c>
      <c r="J62" s="36"/>
      <c r="K62" s="21"/>
      <c r="L62" s="22"/>
    </row>
    <row r="63" spans="1:12" ht="15" customHeight="1" x14ac:dyDescent="0.45">
      <c r="A63" s="13">
        <v>62</v>
      </c>
      <c r="B63" s="11">
        <f>Main!B64-Main!Q64</f>
        <v>270.66406420306794</v>
      </c>
      <c r="C63" s="11">
        <v>0</v>
      </c>
      <c r="D63" s="11">
        <f t="shared" si="6"/>
        <v>3.0073784911451993</v>
      </c>
      <c r="E63" s="11">
        <f t="shared" si="7"/>
        <v>28.397631726180801</v>
      </c>
      <c r="F63" s="11">
        <f t="shared" si="8"/>
        <v>85.40242685277866</v>
      </c>
      <c r="G63" s="11">
        <f t="shared" si="9"/>
        <v>-0.35251448572400257</v>
      </c>
      <c r="H63" s="11">
        <f t="shared" si="10"/>
        <v>95.413003396512906</v>
      </c>
      <c r="I63" s="11">
        <f t="shared" si="11"/>
        <v>0.35251448572400257</v>
      </c>
      <c r="J63" s="36"/>
      <c r="K63" s="21"/>
      <c r="L63" s="22"/>
    </row>
    <row r="64" spans="1:12" ht="15" customHeight="1" x14ac:dyDescent="0.45">
      <c r="A64" s="13">
        <v>63</v>
      </c>
      <c r="B64" s="11">
        <f>Main!B65-Main!Q65</f>
        <v>249.81374621247724</v>
      </c>
      <c r="C64" s="11">
        <v>0</v>
      </c>
      <c r="D64" s="11">
        <f t="shared" si="6"/>
        <v>2.7757082912497468</v>
      </c>
      <c r="E64" s="11">
        <f t="shared" si="7"/>
        <v>30.504870433048332</v>
      </c>
      <c r="F64" s="11">
        <f t="shared" si="8"/>
        <v>84.672621784511506</v>
      </c>
      <c r="G64" s="11">
        <f t="shared" si="9"/>
        <v>-0.38608844025843919</v>
      </c>
      <c r="H64" s="11">
        <f t="shared" si="10"/>
        <v>96.450199630292914</v>
      </c>
      <c r="I64" s="11">
        <f t="shared" si="11"/>
        <v>0.38608844025843919</v>
      </c>
      <c r="J64" s="36"/>
      <c r="K64" s="21"/>
      <c r="L64" s="22"/>
    </row>
    <row r="65" spans="1:12" ht="15" customHeight="1" x14ac:dyDescent="0.45">
      <c r="A65" s="13">
        <v>64</v>
      </c>
      <c r="B65" s="11">
        <f>Main!B66-Main!Q66</f>
        <v>229.40681897599558</v>
      </c>
      <c r="C65" s="11">
        <v>0</v>
      </c>
      <c r="D65" s="11">
        <f t="shared" si="6"/>
        <v>2.5489646552888399</v>
      </c>
      <c r="E65" s="11">
        <f t="shared" si="7"/>
        <v>32.869444034697132</v>
      </c>
      <c r="F65" s="11">
        <f t="shared" si="8"/>
        <v>83.783051083437584</v>
      </c>
      <c r="G65" s="11">
        <f t="shared" si="9"/>
        <v>-0.42629576745116193</v>
      </c>
      <c r="H65" s="11">
        <f t="shared" si="10"/>
        <v>97.795155953901812</v>
      </c>
      <c r="I65" s="11">
        <f t="shared" si="11"/>
        <v>0.42629576745116193</v>
      </c>
      <c r="J65" s="36"/>
      <c r="K65" s="21"/>
      <c r="L65" s="22"/>
    </row>
    <row r="66" spans="1:12" ht="15" customHeight="1" x14ac:dyDescent="0.45">
      <c r="A66" s="13">
        <v>65</v>
      </c>
      <c r="B66" s="11">
        <f>Main!B67-Main!Q67</f>
        <v>211.34119541626779</v>
      </c>
      <c r="C66" s="11">
        <v>0</v>
      </c>
      <c r="D66" s="11">
        <f t="shared" ref="D66:D81" si="12">(1/(90/B66))</f>
        <v>2.3482355046251979</v>
      </c>
      <c r="E66" s="11">
        <f t="shared" ref="E66:E97" si="13">SQRT((8100)/((D66^2)+1))</f>
        <v>35.262380913246474</v>
      </c>
      <c r="F66" s="11">
        <f t="shared" ref="F66:F97" si="14">D66*E66</f>
        <v>82.804374838103286</v>
      </c>
      <c r="G66" s="11">
        <f t="shared" ref="G66:G97" si="15">(F66-C66)/(E66-B66)</f>
        <v>-0.47026881156496236</v>
      </c>
      <c r="H66" s="11">
        <f t="shared" ref="H66:H97" si="16">(-(G66*E66))+F66</f>
        <v>99.387172803126717</v>
      </c>
      <c r="I66" s="11">
        <f t="shared" ref="I66:I97" si="17">H66/B66</f>
        <v>0.47026881156496231</v>
      </c>
      <c r="J66" s="36"/>
      <c r="K66" s="21"/>
      <c r="L66" s="22"/>
    </row>
    <row r="67" spans="1:12" ht="15" customHeight="1" x14ac:dyDescent="0.45">
      <c r="A67" s="13">
        <v>66</v>
      </c>
      <c r="B67" s="11">
        <f>Main!B68-Main!Q68</f>
        <v>197.14318108748955</v>
      </c>
      <c r="C67" s="11">
        <v>0</v>
      </c>
      <c r="D67" s="11">
        <f t="shared" si="12"/>
        <v>2.1904797898609951</v>
      </c>
      <c r="E67" s="11">
        <f t="shared" si="13"/>
        <v>37.376260638863791</v>
      </c>
      <c r="F67" s="11">
        <f t="shared" si="14"/>
        <v>81.87194355000814</v>
      </c>
      <c r="G67" s="11">
        <f t="shared" si="15"/>
        <v>-0.51244615168216046</v>
      </c>
      <c r="H67" s="11">
        <f t="shared" si="16"/>
        <v>101.0252644786633</v>
      </c>
      <c r="I67" s="11">
        <f t="shared" si="17"/>
        <v>0.51244615168216046</v>
      </c>
      <c r="J67" s="36"/>
      <c r="K67" s="21"/>
      <c r="L67" s="22"/>
    </row>
    <row r="68" spans="1:12" ht="15" customHeight="1" x14ac:dyDescent="0.45">
      <c r="A68" s="13">
        <v>67</v>
      </c>
      <c r="B68" s="11">
        <f>Main!B69-Main!Q69</f>
        <v>187.93222868976147</v>
      </c>
      <c r="C68" s="11">
        <v>0</v>
      </c>
      <c r="D68" s="11">
        <f t="shared" si="12"/>
        <v>2.0881358743306833</v>
      </c>
      <c r="E68" s="11">
        <f t="shared" si="13"/>
        <v>38.872949858812717</v>
      </c>
      <c r="F68" s="11">
        <f t="shared" si="14"/>
        <v>81.172001141244706</v>
      </c>
      <c r="G68" s="11">
        <f t="shared" si="15"/>
        <v>-0.54456188019870655</v>
      </c>
      <c r="H68" s="11">
        <f t="shared" si="16"/>
        <v>102.3407278052298</v>
      </c>
      <c r="I68" s="11">
        <f t="shared" si="17"/>
        <v>0.54456188019870655</v>
      </c>
      <c r="J68" s="36"/>
      <c r="K68" s="21"/>
      <c r="L68" s="22"/>
    </row>
    <row r="69" spans="1:12" ht="15" customHeight="1" x14ac:dyDescent="0.45">
      <c r="A69" s="13">
        <v>68</v>
      </c>
      <c r="B69" s="11">
        <f>Main!B70-Main!Q70</f>
        <v>184.40537399267157</v>
      </c>
      <c r="C69" s="11">
        <v>0</v>
      </c>
      <c r="D69" s="11">
        <f t="shared" si="12"/>
        <v>2.0489485999185733</v>
      </c>
      <c r="E69" s="11">
        <f t="shared" si="13"/>
        <v>39.474480158491431</v>
      </c>
      <c r="F69" s="11">
        <f t="shared" si="14"/>
        <v>80.88118085325452</v>
      </c>
      <c r="G69" s="11">
        <f t="shared" si="15"/>
        <v>-0.55806721888980515</v>
      </c>
      <c r="H69" s="11">
        <f t="shared" si="16"/>
        <v>102.91059421242463</v>
      </c>
      <c r="I69" s="11">
        <f t="shared" si="17"/>
        <v>0.55806721888980515</v>
      </c>
      <c r="J69" s="36"/>
      <c r="K69" s="21"/>
      <c r="L69" s="22"/>
    </row>
    <row r="70" spans="1:12" ht="15" customHeight="1" x14ac:dyDescent="0.45">
      <c r="A70" s="13">
        <v>69</v>
      </c>
      <c r="B70" s="11">
        <f>Main!B71-Main!Q71</f>
        <v>186.80940681033459</v>
      </c>
      <c r="C70" s="11">
        <v>0</v>
      </c>
      <c r="D70" s="11">
        <f t="shared" si="12"/>
        <v>2.0756600756703842</v>
      </c>
      <c r="E70" s="11">
        <f t="shared" si="13"/>
        <v>39.062688566428335</v>
      </c>
      <c r="F70" s="11">
        <f t="shared" si="14"/>
        <v>81.080863105681289</v>
      </c>
      <c r="G70" s="11">
        <f t="shared" si="15"/>
        <v>-0.54878283639322345</v>
      </c>
      <c r="H70" s="11">
        <f t="shared" si="16"/>
        <v>102.51779613431097</v>
      </c>
      <c r="I70" s="11">
        <f t="shared" si="17"/>
        <v>0.54878283639322345</v>
      </c>
      <c r="J70" s="36"/>
      <c r="K70" s="21"/>
      <c r="L70" s="22"/>
    </row>
    <row r="71" spans="1:12" ht="15" customHeight="1" x14ac:dyDescent="0.45">
      <c r="A71" s="13">
        <v>70</v>
      </c>
      <c r="B71" s="11">
        <f>Main!B72-Main!Q72</f>
        <v>194.2428094329259</v>
      </c>
      <c r="C71" s="11">
        <v>0</v>
      </c>
      <c r="D71" s="11">
        <f t="shared" si="12"/>
        <v>2.1582534381436211</v>
      </c>
      <c r="E71" s="11">
        <f t="shared" si="13"/>
        <v>37.836313534188818</v>
      </c>
      <c r="F71" s="11">
        <f t="shared" si="14"/>
        <v>81.660353771843049</v>
      </c>
      <c r="G71" s="11">
        <f t="shared" si="15"/>
        <v>-0.52210333913952489</v>
      </c>
      <c r="H71" s="11">
        <f t="shared" si="16"/>
        <v>101.41481940877303</v>
      </c>
      <c r="I71" s="11">
        <f t="shared" si="17"/>
        <v>0.522103339139525</v>
      </c>
      <c r="J71" s="36"/>
      <c r="K71" s="21"/>
      <c r="L71" s="22"/>
    </row>
    <row r="72" spans="1:12" ht="15" customHeight="1" x14ac:dyDescent="0.45">
      <c r="A72" s="13">
        <v>71</v>
      </c>
      <c r="B72" s="11">
        <f>Main!B73-Main!Q73</f>
        <v>205.20778251116991</v>
      </c>
      <c r="C72" s="11">
        <v>0</v>
      </c>
      <c r="D72" s="11">
        <f t="shared" si="12"/>
        <v>2.2800864723463321</v>
      </c>
      <c r="E72" s="11">
        <f t="shared" si="13"/>
        <v>36.148384756565918</v>
      </c>
      <c r="F72" s="11">
        <f t="shared" si="14"/>
        <v>82.421443080616314</v>
      </c>
      <c r="G72" s="11">
        <f t="shared" si="15"/>
        <v>-0.48752949658707589</v>
      </c>
      <c r="H72" s="11">
        <f t="shared" si="16"/>
        <v>100.04484690342082</v>
      </c>
      <c r="I72" s="11">
        <f t="shared" si="17"/>
        <v>0.48752949658707589</v>
      </c>
      <c r="J72" s="36"/>
      <c r="K72" s="21"/>
      <c r="L72" s="22"/>
    </row>
    <row r="73" spans="1:12" ht="15" customHeight="1" x14ac:dyDescent="0.45">
      <c r="A73" s="13">
        <v>72</v>
      </c>
      <c r="B73" s="11">
        <f>Main!B74-Main!Q74</f>
        <v>217.81261319116092</v>
      </c>
      <c r="C73" s="11">
        <v>0</v>
      </c>
      <c r="D73" s="11">
        <f t="shared" si="12"/>
        <v>2.4201401465684547</v>
      </c>
      <c r="E73" s="11">
        <f t="shared" si="13"/>
        <v>34.369479426955067</v>
      </c>
      <c r="F73" s="11">
        <f t="shared" si="14"/>
        <v>83.178956977832527</v>
      </c>
      <c r="G73" s="11">
        <f t="shared" si="15"/>
        <v>-0.45343183618280908</v>
      </c>
      <c r="H73" s="11">
        <f t="shared" si="16"/>
        <v>98.763173143044042</v>
      </c>
      <c r="I73" s="11">
        <f t="shared" si="17"/>
        <v>0.45343183618280908</v>
      </c>
      <c r="J73" s="36"/>
      <c r="K73" s="21"/>
      <c r="L73" s="22"/>
    </row>
    <row r="74" spans="1:12" ht="15" customHeight="1" x14ac:dyDescent="0.45">
      <c r="A74" s="13">
        <v>73</v>
      </c>
      <c r="B74" s="11">
        <f>Main!B75-Main!Q75</f>
        <v>229.99950299324124</v>
      </c>
      <c r="C74" s="11">
        <v>0</v>
      </c>
      <c r="D74" s="11">
        <f t="shared" si="12"/>
        <v>2.5555500332582359</v>
      </c>
      <c r="E74" s="11">
        <f t="shared" si="13"/>
        <v>32.796002830631799</v>
      </c>
      <c r="F74" s="11">
        <f t="shared" si="14"/>
        <v>83.811826124558294</v>
      </c>
      <c r="G74" s="11">
        <f t="shared" si="15"/>
        <v>-0.42500171678215148</v>
      </c>
      <c r="H74" s="11">
        <f t="shared" si="16"/>
        <v>97.750183631169108</v>
      </c>
      <c r="I74" s="11">
        <f t="shared" si="17"/>
        <v>0.42500171678215143</v>
      </c>
      <c r="J74" s="36"/>
      <c r="K74" s="21"/>
      <c r="L74" s="22"/>
    </row>
    <row r="75" spans="1:12" ht="15" customHeight="1" x14ac:dyDescent="0.45">
      <c r="A75" s="13">
        <v>74</v>
      </c>
      <c r="B75" s="11">
        <f>Main!B76-Main!Q76</f>
        <v>240.0755881903994</v>
      </c>
      <c r="C75" s="11">
        <v>0</v>
      </c>
      <c r="D75" s="11">
        <f t="shared" si="12"/>
        <v>2.6675065354488825</v>
      </c>
      <c r="E75" s="11">
        <f t="shared" si="13"/>
        <v>31.592386244666528</v>
      </c>
      <c r="F75" s="11">
        <f t="shared" si="14"/>
        <v>84.272896778073346</v>
      </c>
      <c r="G75" s="11">
        <f t="shared" si="15"/>
        <v>-0.4042191216921599</v>
      </c>
      <c r="H75" s="11">
        <f t="shared" si="16"/>
        <v>97.043143398051924</v>
      </c>
      <c r="I75" s="11">
        <f t="shared" si="17"/>
        <v>0.4042191216921599</v>
      </c>
      <c r="J75" s="36"/>
      <c r="K75" s="21"/>
      <c r="L75" s="22"/>
    </row>
    <row r="76" spans="1:12" ht="15" customHeight="1" x14ac:dyDescent="0.45">
      <c r="A76" s="13">
        <v>75</v>
      </c>
      <c r="B76" s="11">
        <f>Main!B77-Main!Q77</f>
        <v>247.1967265436582</v>
      </c>
      <c r="C76" s="11">
        <v>0</v>
      </c>
      <c r="D76" s="11">
        <f t="shared" si="12"/>
        <v>2.7466302949295356</v>
      </c>
      <c r="E76" s="11">
        <f t="shared" si="13"/>
        <v>30.79019570445783</v>
      </c>
      <c r="F76" s="11">
        <f t="shared" si="14"/>
        <v>84.569284308673133</v>
      </c>
      <c r="G76" s="11">
        <f t="shared" si="15"/>
        <v>-0.39078896547494613</v>
      </c>
      <c r="H76" s="11">
        <f t="shared" si="16"/>
        <v>96.60175303478934</v>
      </c>
      <c r="I76" s="11">
        <f t="shared" si="17"/>
        <v>0.39078896547494613</v>
      </c>
      <c r="J76" s="36"/>
      <c r="K76" s="21"/>
      <c r="L76" s="22"/>
    </row>
    <row r="77" spans="1:12" ht="15" customHeight="1" x14ac:dyDescent="0.45">
      <c r="A77" s="13">
        <v>76</v>
      </c>
      <c r="B77" s="11">
        <f>Main!B78-Main!Q78</f>
        <v>251.48382204489906</v>
      </c>
      <c r="C77" s="11">
        <v>0</v>
      </c>
      <c r="D77" s="11">
        <f t="shared" si="12"/>
        <v>2.7942646893877674</v>
      </c>
      <c r="E77" s="11">
        <f t="shared" si="13"/>
        <v>30.325358813880602</v>
      </c>
      <c r="F77" s="11">
        <f t="shared" si="14"/>
        <v>84.737079326640668</v>
      </c>
      <c r="G77" s="11">
        <f t="shared" si="15"/>
        <v>-0.38315096826353745</v>
      </c>
      <c r="H77" s="11">
        <f t="shared" si="16"/>
        <v>96.356269919118219</v>
      </c>
      <c r="I77" s="11">
        <f t="shared" si="17"/>
        <v>0.38315096826353745</v>
      </c>
      <c r="J77" s="36"/>
      <c r="K77" s="21"/>
      <c r="L77" s="22"/>
    </row>
    <row r="78" spans="1:12" ht="15" customHeight="1" x14ac:dyDescent="0.45">
      <c r="A78" s="13">
        <v>77</v>
      </c>
      <c r="B78" s="11">
        <f>Main!B79-Main!Q79</f>
        <v>253.77258884989357</v>
      </c>
      <c r="C78" s="11">
        <v>0</v>
      </c>
      <c r="D78" s="11">
        <f t="shared" si="12"/>
        <v>2.8196954316654841</v>
      </c>
      <c r="E78" s="11">
        <f t="shared" si="13"/>
        <v>30.082535481217104</v>
      </c>
      <c r="F78" s="11">
        <f t="shared" si="14"/>
        <v>84.823587869302699</v>
      </c>
      <c r="G78" s="11">
        <f t="shared" si="15"/>
        <v>-0.37920142890529002</v>
      </c>
      <c r="H78" s="11">
        <f t="shared" si="16"/>
        <v>96.230928308874311</v>
      </c>
      <c r="I78" s="11">
        <f t="shared" si="17"/>
        <v>0.37920142890529002</v>
      </c>
      <c r="J78" s="36"/>
      <c r="K78" s="21"/>
      <c r="L78" s="22"/>
    </row>
    <row r="79" spans="1:12" ht="15" customHeight="1" x14ac:dyDescent="0.45">
      <c r="A79" s="13">
        <v>78</v>
      </c>
      <c r="B79" s="11">
        <f>Main!B80-Main!Q80</f>
        <v>255.20123108500528</v>
      </c>
      <c r="C79" s="11">
        <v>0</v>
      </c>
      <c r="D79" s="11">
        <f t="shared" si="12"/>
        <v>2.8355692342778362</v>
      </c>
      <c r="E79" s="11">
        <f t="shared" si="13"/>
        <v>29.932804964112822</v>
      </c>
      <c r="F79" s="11">
        <f t="shared" si="14"/>
        <v>84.876540851877209</v>
      </c>
      <c r="G79" s="11">
        <f t="shared" si="15"/>
        <v>-0.37677957054810424</v>
      </c>
      <c r="H79" s="11">
        <f t="shared" si="16"/>
        <v>96.154610251555795</v>
      </c>
      <c r="I79" s="11">
        <f t="shared" si="17"/>
        <v>0.37677957054810424</v>
      </c>
      <c r="J79" s="36"/>
      <c r="K79" s="21"/>
      <c r="L79" s="22"/>
    </row>
    <row r="80" spans="1:12" ht="15" customHeight="1" x14ac:dyDescent="0.45">
      <c r="A80" s="13">
        <v>79</v>
      </c>
      <c r="B80" s="11">
        <f>Main!B81-Main!Q81</f>
        <v>256.85024018170367</v>
      </c>
      <c r="C80" s="11">
        <v>0</v>
      </c>
      <c r="D80" s="11">
        <f t="shared" si="12"/>
        <v>2.8538915575744852</v>
      </c>
      <c r="E80" s="11">
        <f t="shared" si="13"/>
        <v>29.761707824329914</v>
      </c>
      <c r="F80" s="11">
        <f t="shared" si="14"/>
        <v>84.936686698853649</v>
      </c>
      <c r="G80" s="11">
        <f t="shared" si="15"/>
        <v>-0.37402455252644412</v>
      </c>
      <c r="H80" s="11">
        <f t="shared" si="16"/>
        <v>96.068296150271408</v>
      </c>
      <c r="I80" s="11">
        <f t="shared" si="17"/>
        <v>0.37402455252644412</v>
      </c>
      <c r="J80" s="36"/>
      <c r="K80" s="21"/>
      <c r="L80" s="22"/>
    </row>
    <row r="81" spans="1:12" ht="15" customHeight="1" x14ac:dyDescent="0.45">
      <c r="A81" s="42">
        <v>80</v>
      </c>
      <c r="B81" s="17">
        <f>Main!B82-Main!Q82</f>
        <v>259.53431375707078</v>
      </c>
      <c r="C81" s="17">
        <v>0</v>
      </c>
      <c r="D81" s="17">
        <f t="shared" si="12"/>
        <v>2.8837145973007865</v>
      </c>
      <c r="E81" s="17">
        <f t="shared" si="13"/>
        <v>29.487109402618998</v>
      </c>
      <c r="F81" s="17">
        <f t="shared" si="14"/>
        <v>85.032407816537685</v>
      </c>
      <c r="G81" s="17">
        <f t="shared" si="15"/>
        <v>-0.36963025938590233</v>
      </c>
      <c r="H81" s="17">
        <f t="shared" si="16"/>
        <v>95.93173571356823</v>
      </c>
      <c r="I81" s="17">
        <f t="shared" si="17"/>
        <v>0.36963025938590233</v>
      </c>
      <c r="J81" s="43"/>
      <c r="K81" s="21"/>
      <c r="L81" s="22"/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82"/>
  <sheetViews>
    <sheetView showGridLines="0" workbookViewId="0"/>
  </sheetViews>
  <sheetFormatPr defaultColWidth="8.796875" defaultRowHeight="15" customHeight="1" x14ac:dyDescent="0.45"/>
  <cols>
    <col min="1" max="1" width="11.33203125" style="1" customWidth="1"/>
    <col min="2" max="2" width="16.86328125" style="1" customWidth="1"/>
    <col min="3" max="3" width="15.6640625" style="1" customWidth="1"/>
    <col min="4" max="4" width="14.86328125" style="1" customWidth="1"/>
    <col min="5" max="7" width="12.6640625" style="1" customWidth="1"/>
    <col min="8" max="8" width="15" style="1" customWidth="1"/>
    <col min="9" max="9" width="15.6640625" style="1" customWidth="1"/>
    <col min="10" max="10" width="14.19921875" style="1" customWidth="1"/>
    <col min="11" max="12" width="15.6640625" style="1" customWidth="1"/>
    <col min="13" max="13" width="14.46484375" style="1" customWidth="1"/>
    <col min="14" max="14" width="15" style="1" customWidth="1"/>
    <col min="15" max="15" width="10.86328125" style="1" customWidth="1"/>
    <col min="16" max="16" width="10.46484375" style="1" customWidth="1"/>
    <col min="17" max="20" width="8.86328125" style="1" customWidth="1"/>
    <col min="21" max="21" width="13.86328125" style="1" customWidth="1"/>
    <col min="22" max="256" width="8.86328125" style="1" customWidth="1"/>
  </cols>
  <sheetData>
    <row r="1" spans="1:27" ht="15" customHeight="1" x14ac:dyDescent="0.45">
      <c r="A1" s="44" t="s">
        <v>110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45">
        <v>20</v>
      </c>
      <c r="V1" s="2">
        <v>21</v>
      </c>
      <c r="W1" s="5">
        <v>22</v>
      </c>
      <c r="X1" s="5">
        <v>23</v>
      </c>
      <c r="Y1" s="5">
        <v>24</v>
      </c>
      <c r="Z1" s="5">
        <v>25</v>
      </c>
      <c r="AA1" s="45">
        <v>26</v>
      </c>
    </row>
    <row r="2" spans="1:27" ht="45" customHeight="1" x14ac:dyDescent="0.45">
      <c r="A2" s="23" t="s">
        <v>111</v>
      </c>
      <c r="B2" s="9" t="s">
        <v>112</v>
      </c>
      <c r="C2" s="9" t="s">
        <v>113</v>
      </c>
      <c r="D2" s="9" t="s">
        <v>114</v>
      </c>
      <c r="E2" s="9" t="s">
        <v>115</v>
      </c>
      <c r="F2" s="9" t="s">
        <v>116</v>
      </c>
      <c r="G2" s="9" t="s">
        <v>117</v>
      </c>
      <c r="H2" s="9" t="s">
        <v>118</v>
      </c>
      <c r="I2" s="9" t="s">
        <v>119</v>
      </c>
      <c r="J2" s="9" t="s">
        <v>120</v>
      </c>
      <c r="K2" s="9" t="s">
        <v>121</v>
      </c>
      <c r="L2" s="9" t="s">
        <v>122</v>
      </c>
      <c r="M2" s="9" t="s">
        <v>123</v>
      </c>
      <c r="N2" s="9" t="s">
        <v>124</v>
      </c>
      <c r="O2" s="9" t="s">
        <v>2</v>
      </c>
      <c r="P2" s="9" t="s">
        <v>125</v>
      </c>
      <c r="Q2" s="9" t="s">
        <v>17</v>
      </c>
      <c r="R2" s="9" t="s">
        <v>126</v>
      </c>
      <c r="S2" s="9" t="s">
        <v>127</v>
      </c>
      <c r="T2" s="9" t="s">
        <v>128</v>
      </c>
      <c r="U2" s="46" t="s">
        <v>129</v>
      </c>
      <c r="V2" s="23" t="s">
        <v>130</v>
      </c>
      <c r="W2" s="9" t="s">
        <v>131</v>
      </c>
      <c r="X2" s="9" t="s">
        <v>132</v>
      </c>
      <c r="Y2" s="9" t="s">
        <v>133</v>
      </c>
      <c r="Z2" s="9" t="s">
        <v>134</v>
      </c>
      <c r="AA2" s="46" t="s">
        <v>135</v>
      </c>
    </row>
    <row r="3" spans="1:27" ht="15" customHeight="1" x14ac:dyDescent="0.45">
      <c r="A3" s="13">
        <v>1</v>
      </c>
      <c r="B3" s="11">
        <f>Main!B3+Main!C3+Main!T3</f>
        <v>393.327411241834</v>
      </c>
      <c r="C3" s="11">
        <f>Coordinates!T3</f>
        <v>194.25421527179265</v>
      </c>
      <c r="D3" s="11">
        <f>Coordinates!V3</f>
        <v>-13.7691472530895</v>
      </c>
      <c r="E3" s="11">
        <f>Coordinates!Q3</f>
        <v>47.031877516234609</v>
      </c>
      <c r="F3" s="11">
        <f>-Coordinates!P3</f>
        <v>-185.13137093721838</v>
      </c>
      <c r="G3" s="11">
        <f>Coordinates!R3</f>
        <v>-46.808023892861087</v>
      </c>
      <c r="H3" s="11">
        <f t="shared" ref="H3:H34" si="0">(B3/2-5)</f>
        <v>191.663705620917</v>
      </c>
      <c r="I3" s="11">
        <f t="shared" ref="I3:I34" si="1">(H3-5)-(K3/2)</f>
        <v>140.62860253943452</v>
      </c>
      <c r="J3" s="11">
        <f>Main!C3</f>
        <v>89.070206162964965</v>
      </c>
      <c r="K3" s="11">
        <f t="shared" ref="K3:K34" si="2">J3+3</f>
        <v>92.070206162964965</v>
      </c>
      <c r="L3" s="11">
        <f>Main!R3</f>
        <v>4.0615317933915183</v>
      </c>
      <c r="M3" s="11">
        <f t="shared" ref="M3:M34" si="3">L3+6</f>
        <v>10.061531793391518</v>
      </c>
      <c r="N3" s="11">
        <f t="shared" ref="N3:N34" si="4">-(J3/2)</f>
        <v>-44.535103081482482</v>
      </c>
      <c r="O3" s="11">
        <f>Main!D3</f>
        <v>2.2999999999999998</v>
      </c>
      <c r="P3" s="11">
        <f>O3+(2*Main!U3)</f>
        <v>6.3</v>
      </c>
      <c r="Q3" s="11">
        <f>Main!S3</f>
        <v>50</v>
      </c>
      <c r="R3" s="11">
        <f>Q3+(2*Main!U3)</f>
        <v>54</v>
      </c>
      <c r="S3" s="11">
        <v>25</v>
      </c>
      <c r="T3" s="11">
        <v>2</v>
      </c>
      <c r="U3" s="12">
        <f>Main!T3</f>
        <v>10</v>
      </c>
      <c r="V3" s="20">
        <f>(Coordinates!H3)/Coordinates!F3*SIGN(Coordinates!B3)</f>
        <v>370.26274187443676</v>
      </c>
      <c r="W3" s="11">
        <f>V3*Coordinates!C3/Coordinates!B3</f>
        <v>94.063755032469217</v>
      </c>
      <c r="X3" s="11">
        <f>V3*Coordinates!D3/Coordinates!B3</f>
        <v>-93.616047785722174</v>
      </c>
      <c r="Y3" s="11">
        <f>(Coordinates!H3-(Main!T8/2))/Coordinates!F3*SIGN(Coordinates!B3)</f>
        <v>365.55594123848027</v>
      </c>
      <c r="Z3" s="11">
        <f>Y3*Coordinates!C3/Coordinates!B3</f>
        <v>92.868011329589649</v>
      </c>
      <c r="AA3" s="12">
        <f>Y3*Coordinates!D3/Coordinates!B3</f>
        <v>-92.425995362346029</v>
      </c>
    </row>
    <row r="4" spans="1:27" ht="15" customHeight="1" x14ac:dyDescent="0.45">
      <c r="A4" s="13">
        <v>2</v>
      </c>
      <c r="B4" s="11">
        <f>Main!B4+Main!C4+Main!T4</f>
        <v>367.35254584914651</v>
      </c>
      <c r="C4" s="11">
        <f>Coordinates!T4</f>
        <v>203.82696836245557</v>
      </c>
      <c r="D4" s="11">
        <f>Coordinates!V4</f>
        <v>-14.821919032253746</v>
      </c>
      <c r="E4" s="11">
        <f>Coordinates!Q4</f>
        <v>71.731802534957183</v>
      </c>
      <c r="F4" s="11">
        <f>-Coordinates!P4</f>
        <v>-162.43066029973915</v>
      </c>
      <c r="G4" s="11">
        <f>Coordinates!R4</f>
        <v>-46.987257157009815</v>
      </c>
      <c r="H4" s="11">
        <f t="shared" si="0"/>
        <v>178.67627292457325</v>
      </c>
      <c r="I4" s="11">
        <f t="shared" si="1"/>
        <v>130.82586717939378</v>
      </c>
      <c r="J4" s="11">
        <f>Main!C4</f>
        <v>82.700811490358959</v>
      </c>
      <c r="K4" s="11">
        <f t="shared" si="2"/>
        <v>85.700811490358959</v>
      </c>
      <c r="L4" s="11">
        <f>Main!R4</f>
        <v>4.1972002471619154</v>
      </c>
      <c r="M4" s="11">
        <f t="shared" si="3"/>
        <v>10.197200247161916</v>
      </c>
      <c r="N4" s="11">
        <f t="shared" si="4"/>
        <v>-41.350405745179479</v>
      </c>
      <c r="O4" s="11">
        <f>Main!D4</f>
        <v>2.2999999999999998</v>
      </c>
      <c r="P4" s="11">
        <f>O4+(2*Main!U4)</f>
        <v>6.3</v>
      </c>
      <c r="Q4" s="11">
        <f>Main!S4</f>
        <v>50</v>
      </c>
      <c r="R4" s="11">
        <f>Q4+(2*Main!U4)</f>
        <v>54</v>
      </c>
      <c r="S4" s="11">
        <v>25</v>
      </c>
      <c r="T4" s="11">
        <v>2</v>
      </c>
      <c r="U4" s="12">
        <f>Main!T4</f>
        <v>10</v>
      </c>
      <c r="V4" s="20">
        <f>(Coordinates!H4)/Coordinates!F4*SIGN(Coordinates!B4)</f>
        <v>324.86132059947829</v>
      </c>
      <c r="W4" s="11">
        <f>V4*Coordinates!C4/Coordinates!B4</f>
        <v>143.46360506991437</v>
      </c>
      <c r="X4" s="11">
        <f>V4*Coordinates!D4/Coordinates!B4</f>
        <v>-93.974514314019629</v>
      </c>
      <c r="Y4" s="11">
        <f>(Coordinates!H4-(Main!T9/2))/Coordinates!F4*SIGN(Coordinates!B4)</f>
        <v>320.43966455992984</v>
      </c>
      <c r="Z4" s="11">
        <f>Y4*Coordinates!C4/Coordinates!B4</f>
        <v>141.51093580586596</v>
      </c>
      <c r="AA4" s="12">
        <f>Y4*Coordinates!D4/Coordinates!B4</f>
        <v>-92.695436281542769</v>
      </c>
    </row>
    <row r="5" spans="1:27" ht="15" customHeight="1" x14ac:dyDescent="0.45">
      <c r="A5" s="13">
        <v>3</v>
      </c>
      <c r="B5" s="11">
        <f>Main!B5+Main!C5+Main!T5</f>
        <v>339.24359492378557</v>
      </c>
      <c r="C5" s="11">
        <f>Coordinates!T5</f>
        <v>214.20866325954427</v>
      </c>
      <c r="D5" s="11">
        <f>Coordinates!V5</f>
        <v>-16.16156770017561</v>
      </c>
      <c r="E5" s="11">
        <f>Coordinates!Q5</f>
        <v>91.594124118987665</v>
      </c>
      <c r="F5" s="11">
        <f>-Coordinates!P5</f>
        <v>-134.73283519835243</v>
      </c>
      <c r="G5" s="11">
        <f>Coordinates!R5</f>
        <v>-47.213702677214918</v>
      </c>
      <c r="H5" s="11">
        <f t="shared" si="0"/>
        <v>164.62179746189278</v>
      </c>
      <c r="I5" s="11">
        <f t="shared" si="1"/>
        <v>120.2337596265987</v>
      </c>
      <c r="J5" s="11">
        <f>Main!C5</f>
        <v>75.776075670588156</v>
      </c>
      <c r="K5" s="11">
        <f t="shared" si="2"/>
        <v>78.776075670588156</v>
      </c>
      <c r="L5" s="11">
        <f>Main!R5</f>
        <v>4.3705743681168148</v>
      </c>
      <c r="M5" s="11">
        <f t="shared" si="3"/>
        <v>10.370574368116815</v>
      </c>
      <c r="N5" s="11">
        <f t="shared" si="4"/>
        <v>-37.888037835294078</v>
      </c>
      <c r="O5" s="11">
        <f>Main!D5</f>
        <v>2.2999999999999998</v>
      </c>
      <c r="P5" s="11">
        <f>O5+(2*Main!U5)</f>
        <v>6.3</v>
      </c>
      <c r="Q5" s="11">
        <f>Main!S5</f>
        <v>50</v>
      </c>
      <c r="R5" s="11">
        <f>Q5+(2*Main!U5)</f>
        <v>54</v>
      </c>
      <c r="S5" s="11">
        <v>25</v>
      </c>
      <c r="T5" s="11">
        <v>2</v>
      </c>
      <c r="U5" s="12">
        <f>Main!T5</f>
        <v>10</v>
      </c>
      <c r="V5" s="20">
        <f>(Coordinates!H5)/Coordinates!F5*SIGN(Coordinates!B5)</f>
        <v>269.46567039670487</v>
      </c>
      <c r="W5" s="11">
        <f>V5*Coordinates!C5/Coordinates!B5</f>
        <v>183.18824823797533</v>
      </c>
      <c r="X5" s="11">
        <f>V5*Coordinates!D5/Coordinates!B5</f>
        <v>-94.427405354429837</v>
      </c>
      <c r="Y5" s="11">
        <f>(Coordinates!H5-(Main!T10/2))/Coordinates!F5*SIGN(Coordinates!B5)</f>
        <v>265.49410432399475</v>
      </c>
      <c r="Z5" s="11">
        <f>Y5*Coordinates!C5/Coordinates!B5</f>
        <v>180.48829677272911</v>
      </c>
      <c r="AA5" s="12">
        <f>Y5*Coordinates!D5/Coordinates!B5</f>
        <v>-93.035670819609166</v>
      </c>
    </row>
    <row r="6" spans="1:27" ht="15" customHeight="1" x14ac:dyDescent="0.45">
      <c r="A6" s="13">
        <v>4</v>
      </c>
      <c r="B6" s="11">
        <f>Main!B6+Main!C6+Main!T6</f>
        <v>311.67367674994733</v>
      </c>
      <c r="C6" s="11">
        <f>Coordinates!T6</f>
        <v>225.62677044979472</v>
      </c>
      <c r="D6" s="11">
        <f>Coordinates!V6</f>
        <v>-17.738160850228653</v>
      </c>
      <c r="E6" s="11">
        <f>Coordinates!Q6</f>
        <v>106.09637848841916</v>
      </c>
      <c r="F6" s="11">
        <f>-Coordinates!P6</f>
        <v>-103.80018473117315</v>
      </c>
      <c r="G6" s="11">
        <f>Coordinates!R6</f>
        <v>-47.478419477949167</v>
      </c>
      <c r="H6" s="11">
        <f t="shared" si="0"/>
        <v>150.83683837497367</v>
      </c>
      <c r="I6" s="11">
        <f t="shared" si="1"/>
        <v>109.86554721679866</v>
      </c>
      <c r="J6" s="11">
        <f>Main!C6</f>
        <v>68.942582316349998</v>
      </c>
      <c r="K6" s="11">
        <f t="shared" si="2"/>
        <v>71.942582316349998</v>
      </c>
      <c r="L6" s="11">
        <f>Main!R6</f>
        <v>4.5758068341572775</v>
      </c>
      <c r="M6" s="11">
        <f t="shared" si="3"/>
        <v>10.575806834157277</v>
      </c>
      <c r="N6" s="11">
        <f t="shared" si="4"/>
        <v>-34.471291158174999</v>
      </c>
      <c r="O6" s="11">
        <f>Main!D6</f>
        <v>2.2999999999999998</v>
      </c>
      <c r="P6" s="11">
        <f>O6+(2*Main!U6)</f>
        <v>6.3</v>
      </c>
      <c r="Q6" s="11">
        <f>Main!S6</f>
        <v>50</v>
      </c>
      <c r="R6" s="11">
        <f>Q6+(2*Main!U6)</f>
        <v>54</v>
      </c>
      <c r="S6" s="11">
        <v>25</v>
      </c>
      <c r="T6" s="11">
        <v>2</v>
      </c>
      <c r="U6" s="12">
        <f>Main!T6</f>
        <v>10</v>
      </c>
      <c r="V6" s="20">
        <f>(Coordinates!H6)/Coordinates!F6*SIGN(Coordinates!B6)</f>
        <v>207.60036946234629</v>
      </c>
      <c r="W6" s="11">
        <f>V6*Coordinates!C6/Coordinates!B6</f>
        <v>212.19275697683833</v>
      </c>
      <c r="X6" s="11">
        <f>V6*Coordinates!D6/Coordinates!B6</f>
        <v>-94.956838955898334</v>
      </c>
      <c r="Y6" s="11">
        <f>(Coordinates!H6-(Main!T11/2))/Coordinates!F6*SIGN(Coordinates!B6)</f>
        <v>204.26995716017259</v>
      </c>
      <c r="Z6" s="11">
        <f>Y6*Coordinates!C6/Coordinates!B6</f>
        <v>208.78867166572817</v>
      </c>
      <c r="AA6" s="12">
        <f>Y6*Coordinates!D6/Coordinates!B6</f>
        <v>-93.433501471223906</v>
      </c>
    </row>
    <row r="7" spans="1:27" ht="15" customHeight="1" x14ac:dyDescent="0.45">
      <c r="A7" s="13">
        <v>5</v>
      </c>
      <c r="B7" s="11">
        <f>Main!B7+Main!C7+Main!T7</f>
        <v>287.20308869807468</v>
      </c>
      <c r="C7" s="11">
        <f>Coordinates!T7</f>
        <v>238.2838922870865</v>
      </c>
      <c r="D7" s="11">
        <f>Coordinates!V7</f>
        <v>-19.442095667132492</v>
      </c>
      <c r="E7" s="11">
        <f>Coordinates!Q7</f>
        <v>115.19100282510489</v>
      </c>
      <c r="F7" s="11">
        <f>-Coordinates!P7</f>
        <v>-71.188157777788078</v>
      </c>
      <c r="G7" s="11">
        <f>Coordinates!R7</f>
        <v>-47.798353525827352</v>
      </c>
      <c r="H7" s="11">
        <f t="shared" si="0"/>
        <v>138.60154434903734</v>
      </c>
      <c r="I7" s="11">
        <f t="shared" si="1"/>
        <v>100.68542125361544</v>
      </c>
      <c r="J7" s="11">
        <f>Main!C7</f>
        <v>62.832246190843783</v>
      </c>
      <c r="K7" s="11">
        <f t="shared" si="2"/>
        <v>65.83224619084379</v>
      </c>
      <c r="L7" s="11">
        <f>Main!R7</f>
        <v>4.7971254333871682</v>
      </c>
      <c r="M7" s="11">
        <f t="shared" si="3"/>
        <v>10.797125433387169</v>
      </c>
      <c r="N7" s="11">
        <f t="shared" si="4"/>
        <v>-31.416123095421892</v>
      </c>
      <c r="O7" s="11">
        <f>Main!D7</f>
        <v>2.2999999999999998</v>
      </c>
      <c r="P7" s="11">
        <f>O7+(2*Main!U7)</f>
        <v>6.3</v>
      </c>
      <c r="Q7" s="11">
        <f>Main!S7</f>
        <v>50</v>
      </c>
      <c r="R7" s="11">
        <f>Q7+(2*Main!U7)</f>
        <v>54</v>
      </c>
      <c r="S7" s="11">
        <v>25</v>
      </c>
      <c r="T7" s="11">
        <v>2</v>
      </c>
      <c r="U7" s="12">
        <f>Main!T7</f>
        <v>10</v>
      </c>
      <c r="V7" s="20">
        <f>(Coordinates!H7)/Coordinates!F7*SIGN(Coordinates!B7)</f>
        <v>142.37631555557616</v>
      </c>
      <c r="W7" s="11">
        <f>V7*Coordinates!C7/Coordinates!B7</f>
        <v>230.38200565020978</v>
      </c>
      <c r="X7" s="11">
        <f>V7*Coordinates!D7/Coordinates!B7</f>
        <v>-95.596707051654704</v>
      </c>
      <c r="Y7" s="11">
        <f>(Coordinates!H7-(Main!T12/2))/Coordinates!F7*SIGN(Coordinates!B7)</f>
        <v>139.89764591102281</v>
      </c>
      <c r="Z7" s="11">
        <f>Y7*Coordinates!C7/Coordinates!B7</f>
        <v>226.37121999510836</v>
      </c>
      <c r="AA7" s="12">
        <f>Y7*Coordinates!D7/Coordinates!B7</f>
        <v>-93.932436874669406</v>
      </c>
    </row>
    <row r="8" spans="1:27" ht="15" customHeight="1" x14ac:dyDescent="0.45">
      <c r="A8" s="13">
        <v>6</v>
      </c>
      <c r="B8" s="11">
        <f>Main!B8+Main!C8+Main!T8</f>
        <v>267.91637862399017</v>
      </c>
      <c r="C8" s="11">
        <f>Coordinates!T8</f>
        <v>252.29800500153047</v>
      </c>
      <c r="D8" s="11">
        <f>Coordinates!V8</f>
        <v>-21.042322984019791</v>
      </c>
      <c r="E8" s="11">
        <f>Coordinates!Q8</f>
        <v>119.10541462781259</v>
      </c>
      <c r="F8" s="11">
        <f>-Coordinates!P8</f>
        <v>-38.015956124359796</v>
      </c>
      <c r="G8" s="11">
        <f>Coordinates!R8</f>
        <v>-48.098687820312797</v>
      </c>
      <c r="H8" s="11">
        <f t="shared" si="0"/>
        <v>128.95818931199508</v>
      </c>
      <c r="I8" s="11">
        <f t="shared" si="1"/>
        <v>93.469374087084304</v>
      </c>
      <c r="J8" s="11">
        <f>Main!C8</f>
        <v>57.977630449821568</v>
      </c>
      <c r="K8" s="11">
        <f t="shared" si="2"/>
        <v>60.977630449821568</v>
      </c>
      <c r="L8" s="11">
        <f>Main!R8</f>
        <v>5.0062161523795572</v>
      </c>
      <c r="M8" s="11">
        <f t="shared" si="3"/>
        <v>11.006216152379558</v>
      </c>
      <c r="N8" s="11">
        <f t="shared" si="4"/>
        <v>-28.988815224910784</v>
      </c>
      <c r="O8" s="11">
        <f>Main!D8</f>
        <v>2.2999999999999998</v>
      </c>
      <c r="P8" s="11">
        <f>O8+(2*Main!U8)</f>
        <v>6.3</v>
      </c>
      <c r="Q8" s="11">
        <f>Main!S8</f>
        <v>50</v>
      </c>
      <c r="R8" s="11">
        <f>Q8+(2*Main!U8)</f>
        <v>54</v>
      </c>
      <c r="S8" s="11">
        <v>25</v>
      </c>
      <c r="T8" s="11">
        <v>2</v>
      </c>
      <c r="U8" s="12">
        <f>Main!T8</f>
        <v>10</v>
      </c>
      <c r="V8" s="20">
        <f>(Coordinates!H8)/Coordinates!F8*SIGN(Coordinates!B8)</f>
        <v>76.031912248719593</v>
      </c>
      <c r="W8" s="11">
        <f>V8*Coordinates!C8/Coordinates!B8</f>
        <v>238.21082925562519</v>
      </c>
      <c r="X8" s="11">
        <f>V8*Coordinates!D8/Coordinates!B8</f>
        <v>-96.197375640625594</v>
      </c>
      <c r="Y8" s="11">
        <f>(Coordinates!H8-(Main!T13/2))/Coordinates!F8*SIGN(Coordinates!B8)</f>
        <v>74.612963682767472</v>
      </c>
      <c r="Z8" s="11">
        <f>Y8*Coordinates!C8/Coordinates!B8</f>
        <v>233.7652102442182</v>
      </c>
      <c r="AA8" s="12">
        <f>Y8*Coordinates!D8/Coordinates!B8</f>
        <v>-94.402088317493451</v>
      </c>
    </row>
    <row r="9" spans="1:27" ht="15" customHeight="1" x14ac:dyDescent="0.45">
      <c r="A9" s="13">
        <v>7</v>
      </c>
      <c r="B9" s="11">
        <f>Main!B9+Main!C9+Main!T9</f>
        <v>255.37159051334103</v>
      </c>
      <c r="C9" s="11">
        <f>Coordinates!T9</f>
        <v>267.61151444724294</v>
      </c>
      <c r="D9" s="11">
        <f>Coordinates!V9</f>
        <v>-22.238095974166399</v>
      </c>
      <c r="E9" s="11">
        <f>Coordinates!Q9</f>
        <v>118.08573866502545</v>
      </c>
      <c r="F9" s="11">
        <f>-Coordinates!P9</f>
        <v>-4.9254862538864836</v>
      </c>
      <c r="G9" s="11">
        <f>Coordinates!R9</f>
        <v>-48.323495521603938</v>
      </c>
      <c r="H9" s="11">
        <f t="shared" si="0"/>
        <v>122.68579525667052</v>
      </c>
      <c r="I9" s="11">
        <f t="shared" si="1"/>
        <v>88.787219666823063</v>
      </c>
      <c r="J9" s="11">
        <f>Main!C9</f>
        <v>54.797151179694914</v>
      </c>
      <c r="K9" s="11">
        <f t="shared" si="2"/>
        <v>57.797151179694914</v>
      </c>
      <c r="L9" s="11">
        <f>Main!R9</f>
        <v>5.1632875363443951</v>
      </c>
      <c r="M9" s="11">
        <f t="shared" si="3"/>
        <v>11.163287536344395</v>
      </c>
      <c r="N9" s="11">
        <f t="shared" si="4"/>
        <v>-27.398575589847457</v>
      </c>
      <c r="O9" s="11">
        <f>Main!D9</f>
        <v>2.2999999999999998</v>
      </c>
      <c r="P9" s="11">
        <f>O9+(2*Main!U9)</f>
        <v>6.3</v>
      </c>
      <c r="Q9" s="11">
        <f>Main!S9</f>
        <v>50</v>
      </c>
      <c r="R9" s="11">
        <f>Q9+(2*Main!U9)</f>
        <v>54</v>
      </c>
      <c r="S9" s="11">
        <v>25</v>
      </c>
      <c r="T9" s="11">
        <v>2</v>
      </c>
      <c r="U9" s="12">
        <f>Main!T9</f>
        <v>10</v>
      </c>
      <c r="V9" s="20">
        <f>(Coordinates!H9)/Coordinates!F9*SIGN(Coordinates!B9)</f>
        <v>9.8509725077729673</v>
      </c>
      <c r="W9" s="11">
        <f>V9*Coordinates!C9/Coordinates!B9</f>
        <v>236.17147733005089</v>
      </c>
      <c r="X9" s="11">
        <f>V9*Coordinates!D9/Coordinates!B9</f>
        <v>-96.646991043207876</v>
      </c>
      <c r="Y9" s="11">
        <f>(Coordinates!H9-(Main!T14/2))/Coordinates!F9*SIGN(Coordinates!B9)</f>
        <v>9.6580972453373377</v>
      </c>
      <c r="Z9" s="11">
        <f>Y9*Coordinates!C9/Coordinates!B9</f>
        <v>231.54740233299844</v>
      </c>
      <c r="AA9" s="12">
        <f>Y9*Coordinates!D9/Coordinates!B9</f>
        <v>-94.754709469346622</v>
      </c>
    </row>
    <row r="10" spans="1:27" ht="15" customHeight="1" x14ac:dyDescent="0.45">
      <c r="A10" s="13">
        <v>8</v>
      </c>
      <c r="B10" s="11">
        <f>Main!B10+Main!C10+Main!T10</f>
        <v>250.56026094472099</v>
      </c>
      <c r="C10" s="11">
        <f>Coordinates!T10</f>
        <v>-75.987502531244289</v>
      </c>
      <c r="D10" s="11">
        <f>Coordinates!V10</f>
        <v>-22.735081474040427</v>
      </c>
      <c r="E10" s="11">
        <f>Coordinates!Q10</f>
        <v>112.10775678204826</v>
      </c>
      <c r="F10" s="11">
        <f>-Coordinates!P10</f>
        <v>27.977577798034911</v>
      </c>
      <c r="G10" s="11">
        <f>Coordinates!R10</f>
        <v>-48.417115785883809</v>
      </c>
      <c r="H10" s="11">
        <f t="shared" si="0"/>
        <v>120.2801304723605</v>
      </c>
      <c r="I10" s="11">
        <f t="shared" si="1"/>
        <v>86.994249396232917</v>
      </c>
      <c r="J10" s="11">
        <f>Main!C10</f>
        <v>53.571762152255161</v>
      </c>
      <c r="K10" s="11">
        <f t="shared" si="2"/>
        <v>56.571762152255161</v>
      </c>
      <c r="L10" s="11">
        <f>Main!R10</f>
        <v>5.2287817629384268</v>
      </c>
      <c r="M10" s="11">
        <f t="shared" si="3"/>
        <v>11.228781762938427</v>
      </c>
      <c r="N10" s="11">
        <f t="shared" si="4"/>
        <v>-26.785881076127581</v>
      </c>
      <c r="O10" s="11">
        <f>Main!D10</f>
        <v>2.2999999999999998</v>
      </c>
      <c r="P10" s="11">
        <f>O10+(2*Main!U10)</f>
        <v>6.3</v>
      </c>
      <c r="Q10" s="11">
        <f>Main!S10</f>
        <v>50</v>
      </c>
      <c r="R10" s="11">
        <f>Q10+(2*Main!U10)</f>
        <v>54</v>
      </c>
      <c r="S10" s="11">
        <v>25</v>
      </c>
      <c r="T10" s="11">
        <v>2</v>
      </c>
      <c r="U10" s="12">
        <f>Main!T10</f>
        <v>10</v>
      </c>
      <c r="V10" s="20">
        <f>(Coordinates!H10)/Coordinates!F10*SIGN(Coordinates!B10)</f>
        <v>-55.955155596069822</v>
      </c>
      <c r="W10" s="11">
        <f>V10*Coordinates!C10/Coordinates!B10</f>
        <v>224.21551356409651</v>
      </c>
      <c r="X10" s="11">
        <f>V10*Coordinates!D10/Coordinates!B10</f>
        <v>-96.834231571767617</v>
      </c>
      <c r="Y10" s="11">
        <f>(Coordinates!H10-(Main!T15/2))/Coordinates!F10*SIGN(Coordinates!B10)</f>
        <v>-54.838554835336765</v>
      </c>
      <c r="Z10" s="11">
        <f>Y10*Coordinates!C10/Coordinates!B10</f>
        <v>219.74123035736</v>
      </c>
      <c r="AA10" s="12">
        <f>Y10*Coordinates!D10/Coordinates!B10</f>
        <v>-94.901877430559026</v>
      </c>
    </row>
    <row r="11" spans="1:27" ht="15" customHeight="1" x14ac:dyDescent="0.45">
      <c r="A11" s="13">
        <v>9</v>
      </c>
      <c r="B11" s="11">
        <f>Main!B11+Main!C11+Main!T11</f>
        <v>253.84034819094646</v>
      </c>
      <c r="C11" s="11">
        <f>Coordinates!T11</f>
        <v>-59.436047949223919</v>
      </c>
      <c r="D11" s="11">
        <f>Coordinates!V11</f>
        <v>-22.393804076645409</v>
      </c>
      <c r="E11" s="11">
        <f>Coordinates!Q11</f>
        <v>101.04458364628653</v>
      </c>
      <c r="F11" s="11">
        <f>-Coordinates!P11</f>
        <v>59.671824649138493</v>
      </c>
      <c r="G11" s="11">
        <f>Coordinates!R11</f>
        <v>-48.352828781947267</v>
      </c>
      <c r="H11" s="11">
        <f t="shared" si="0"/>
        <v>121.92017409547323</v>
      </c>
      <c r="I11" s="11">
        <f t="shared" si="1"/>
        <v>88.216415056921363</v>
      </c>
      <c r="J11" s="11">
        <f>Main!C11</f>
        <v>54.407518077103731</v>
      </c>
      <c r="K11" s="11">
        <f t="shared" si="2"/>
        <v>57.407518077103731</v>
      </c>
      <c r="L11" s="11">
        <f>Main!R11</f>
        <v>5.1837926364817601</v>
      </c>
      <c r="M11" s="11">
        <f t="shared" si="3"/>
        <v>11.18379263648176</v>
      </c>
      <c r="N11" s="11">
        <f t="shared" si="4"/>
        <v>-27.203759038551866</v>
      </c>
      <c r="O11" s="11">
        <f>Main!D11</f>
        <v>2.2999999999999998</v>
      </c>
      <c r="P11" s="11">
        <f>O11+(2*Main!U11)</f>
        <v>6.3</v>
      </c>
      <c r="Q11" s="11">
        <f>Main!S11</f>
        <v>50</v>
      </c>
      <c r="R11" s="11">
        <f>Q11+(2*Main!U11)</f>
        <v>54</v>
      </c>
      <c r="S11" s="11">
        <v>25</v>
      </c>
      <c r="T11" s="11">
        <v>2</v>
      </c>
      <c r="U11" s="12">
        <f>Main!T11</f>
        <v>10</v>
      </c>
      <c r="V11" s="20">
        <f>(Coordinates!H11)/Coordinates!F11*SIGN(Coordinates!B11)</f>
        <v>-119.34364929827699</v>
      </c>
      <c r="W11" s="11">
        <f>V11*Coordinates!C11/Coordinates!B11</f>
        <v>202.08916729257305</v>
      </c>
      <c r="X11" s="11">
        <f>V11*Coordinates!D11/Coordinates!B11</f>
        <v>-96.705657563894533</v>
      </c>
      <c r="Y11" s="11">
        <f>(Coordinates!H11-(Main!T16/2))/Coordinates!F11*SIGN(Coordinates!B11)</f>
        <v>-116.99288729080246</v>
      </c>
      <c r="Z11" s="11">
        <f>Y11*Coordinates!C11/Coordinates!B11</f>
        <v>198.10853204816038</v>
      </c>
      <c r="AA11" s="12">
        <f>Y11*Coordinates!D11/Coordinates!B11</f>
        <v>-94.800805591915093</v>
      </c>
    </row>
    <row r="12" spans="1:27" ht="15" customHeight="1" x14ac:dyDescent="0.45">
      <c r="A12" s="13">
        <v>10</v>
      </c>
      <c r="B12" s="11">
        <f>Main!B12+Main!C12+Main!T12</f>
        <v>263.96928691932123</v>
      </c>
      <c r="C12" s="11">
        <f>Coordinates!T12</f>
        <v>-43.805719183485337</v>
      </c>
      <c r="D12" s="11">
        <f>Coordinates!V12</f>
        <v>-21.403948484880758</v>
      </c>
      <c r="E12" s="11">
        <f>Coordinates!Q12</f>
        <v>85.060617634734854</v>
      </c>
      <c r="F12" s="11">
        <f>-Coordinates!P12</f>
        <v>88.682670322170367</v>
      </c>
      <c r="G12" s="11">
        <f>Coordinates!R12</f>
        <v>-48.16660068242733</v>
      </c>
      <c r="H12" s="11">
        <f t="shared" si="0"/>
        <v>126.98464345966062</v>
      </c>
      <c r="I12" s="11">
        <f t="shared" si="1"/>
        <v>91.995113698650059</v>
      </c>
      <c r="J12" s="11">
        <f>Main!C12</f>
        <v>56.979059522021117</v>
      </c>
      <c r="K12" s="11">
        <f t="shared" si="2"/>
        <v>59.979059522021117</v>
      </c>
      <c r="L12" s="11">
        <f>Main!R12</f>
        <v>5.0536432035941496</v>
      </c>
      <c r="M12" s="11">
        <f t="shared" si="3"/>
        <v>11.053643203594149</v>
      </c>
      <c r="N12" s="11">
        <f t="shared" si="4"/>
        <v>-28.489529761010559</v>
      </c>
      <c r="O12" s="11">
        <f>Main!D12</f>
        <v>2.2999999999999998</v>
      </c>
      <c r="P12" s="11">
        <f>O12+(2*Main!U12)</f>
        <v>6.3</v>
      </c>
      <c r="Q12" s="11">
        <f>Main!S12</f>
        <v>50</v>
      </c>
      <c r="R12" s="11">
        <f>Q12+(2*Main!U12)</f>
        <v>54</v>
      </c>
      <c r="S12" s="11">
        <v>25</v>
      </c>
      <c r="T12" s="11">
        <v>2</v>
      </c>
      <c r="U12" s="12">
        <f>Main!T12</f>
        <v>10</v>
      </c>
      <c r="V12" s="20">
        <f>(Coordinates!H12)/Coordinates!F12*SIGN(Coordinates!B12)</f>
        <v>-177.36534064434073</v>
      </c>
      <c r="W12" s="11">
        <f>V12*Coordinates!C12/Coordinates!B12</f>
        <v>170.12123526946971</v>
      </c>
      <c r="X12" s="11">
        <f>V12*Coordinates!D12/Coordinates!B12</f>
        <v>-96.333201364854659</v>
      </c>
      <c r="Y12" s="11">
        <f>(Coordinates!H12-(Main!T17/2))/Coordinates!F12*SIGN(Coordinates!B12)</f>
        <v>-174.00575774145267</v>
      </c>
      <c r="Z12" s="11">
        <f>Y12*Coordinates!C12/Coordinates!B12</f>
        <v>166.89886729524653</v>
      </c>
      <c r="AA12" s="12">
        <f>Y12*Coordinates!D12/Coordinates!B12</f>
        <v>-94.508496633309534</v>
      </c>
    </row>
    <row r="13" spans="1:27" ht="15" customHeight="1" x14ac:dyDescent="0.45">
      <c r="A13" s="13">
        <v>11</v>
      </c>
      <c r="B13" s="11">
        <f>Main!B13+Main!C13+Main!T13</f>
        <v>278.87814366327166</v>
      </c>
      <c r="C13" s="11">
        <f>Coordinates!T13</f>
        <v>-29.272683834126891</v>
      </c>
      <c r="D13" s="11">
        <f>Coordinates!V13</f>
        <v>-20.101064968042451</v>
      </c>
      <c r="E13" s="11">
        <f>Coordinates!Q13</f>
        <v>64.027999615361679</v>
      </c>
      <c r="F13" s="11">
        <f>-Coordinates!P13</f>
        <v>114.22412071582298</v>
      </c>
      <c r="G13" s="11">
        <f>Coordinates!R13</f>
        <v>-47.922022758022663</v>
      </c>
      <c r="H13" s="11">
        <f t="shared" si="0"/>
        <v>134.43907183163583</v>
      </c>
      <c r="I13" s="11">
        <f t="shared" si="1"/>
        <v>97.5683095620833</v>
      </c>
      <c r="J13" s="11">
        <f>Main!C13</f>
        <v>60.741524539105065</v>
      </c>
      <c r="K13" s="11">
        <f t="shared" si="2"/>
        <v>63.741524539105065</v>
      </c>
      <c r="L13" s="11">
        <f>Main!R13</f>
        <v>4.8830764240859414</v>
      </c>
      <c r="M13" s="11">
        <f t="shared" si="3"/>
        <v>10.883076424085942</v>
      </c>
      <c r="N13" s="11">
        <f t="shared" si="4"/>
        <v>-30.370762269552532</v>
      </c>
      <c r="O13" s="11">
        <f>Main!D13</f>
        <v>2.2999999999999998</v>
      </c>
      <c r="P13" s="11">
        <f>O13+(2*Main!U13)</f>
        <v>6.3</v>
      </c>
      <c r="Q13" s="11">
        <f>Main!S13</f>
        <v>50</v>
      </c>
      <c r="R13" s="11">
        <f>Q13+(2*Main!U13)</f>
        <v>54</v>
      </c>
      <c r="S13" s="11">
        <v>25</v>
      </c>
      <c r="T13" s="11">
        <v>2</v>
      </c>
      <c r="U13" s="12">
        <f>Main!T13</f>
        <v>10</v>
      </c>
      <c r="V13" s="20">
        <f>(Coordinates!H13)/Coordinates!F13*SIGN(Coordinates!B13)</f>
        <v>-228.44824143164595</v>
      </c>
      <c r="W13" s="11">
        <f>V13*Coordinates!C13/Coordinates!B13</f>
        <v>128.05599923072336</v>
      </c>
      <c r="X13" s="11">
        <f>V13*Coordinates!D13/Coordinates!B13</f>
        <v>-95.844045516045327</v>
      </c>
      <c r="Y13" s="11">
        <f>(Coordinates!H13-(Main!T18/2))/Coordinates!F13*SIGN(Coordinates!B13)</f>
        <v>-224.35239802077825</v>
      </c>
      <c r="Z13" s="11">
        <f>Y13*Coordinates!C13/Coordinates!B13</f>
        <v>125.76008608477702</v>
      </c>
      <c r="AA13" s="12">
        <f>Y13*Coordinates!D13/Coordinates!B13</f>
        <v>-94.12565976775646</v>
      </c>
    </row>
    <row r="14" spans="1:27" ht="15" customHeight="1" x14ac:dyDescent="0.45">
      <c r="A14" s="13">
        <v>12</v>
      </c>
      <c r="B14" s="11">
        <f>Main!B14+Main!C14+Main!T14</f>
        <v>295.97690366740034</v>
      </c>
      <c r="C14" s="11">
        <f>Coordinates!T14</f>
        <v>-15.80723941078455</v>
      </c>
      <c r="D14" s="11">
        <f>Coordinates!V14</f>
        <v>-18.793914488381077</v>
      </c>
      <c r="E14" s="11">
        <f>Coordinates!Q14</f>
        <v>38.163011309287391</v>
      </c>
      <c r="F14" s="11">
        <f>-Coordinates!P14</f>
        <v>134.8002102239324</v>
      </c>
      <c r="G14" s="11">
        <f>Coordinates!R14</f>
        <v>-47.676721442714879</v>
      </c>
      <c r="H14" s="11">
        <f t="shared" si="0"/>
        <v>142.98845183370017</v>
      </c>
      <c r="I14" s="11">
        <f t="shared" si="1"/>
        <v>103.97408527653397</v>
      </c>
      <c r="J14" s="11">
        <f>Main!C14</f>
        <v>65.028733114332397</v>
      </c>
      <c r="K14" s="11">
        <f t="shared" si="2"/>
        <v>68.028733114332397</v>
      </c>
      <c r="L14" s="11">
        <f>Main!R14</f>
        <v>4.712779589664482</v>
      </c>
      <c r="M14" s="11">
        <f t="shared" si="3"/>
        <v>10.712779589664482</v>
      </c>
      <c r="N14" s="11">
        <f t="shared" si="4"/>
        <v>-32.514366557166198</v>
      </c>
      <c r="O14" s="11">
        <f>Main!D14</f>
        <v>2.2999999999999998</v>
      </c>
      <c r="P14" s="11">
        <f>O14+(2*Main!U14)</f>
        <v>6.3</v>
      </c>
      <c r="Q14" s="11">
        <f>Main!S14</f>
        <v>50</v>
      </c>
      <c r="R14" s="11">
        <f>Q14+(2*Main!U14)</f>
        <v>54</v>
      </c>
      <c r="S14" s="11">
        <v>25</v>
      </c>
      <c r="T14" s="11">
        <v>2</v>
      </c>
      <c r="U14" s="12">
        <f>Main!T14</f>
        <v>10</v>
      </c>
      <c r="V14" s="20">
        <f>(Coordinates!H14)/Coordinates!F14*SIGN(Coordinates!B14)</f>
        <v>-269.60042044786479</v>
      </c>
      <c r="W14" s="11">
        <f>V14*Coordinates!C14/Coordinates!B14</f>
        <v>76.326022618574783</v>
      </c>
      <c r="X14" s="11">
        <f>V14*Coordinates!D14/Coordinates!B14</f>
        <v>-95.353442885429757</v>
      </c>
      <c r="Y14" s="11">
        <f>(Coordinates!H14-(Main!T19/2))/Coordinates!F14*SIGN(Coordinates!B14)</f>
        <v>-265.04600391895173</v>
      </c>
      <c r="Z14" s="11">
        <f>Y14*Coordinates!C14/Coordinates!B14</f>
        <v>75.036631087127034</v>
      </c>
      <c r="AA14" s="12">
        <f>Y14*Coordinates!D14/Coordinates!B14</f>
        <v>-93.742617146935956</v>
      </c>
    </row>
    <row r="15" spans="1:27" ht="15" customHeight="1" x14ac:dyDescent="0.45">
      <c r="A15" s="13">
        <v>13</v>
      </c>
      <c r="B15" s="11">
        <f>Main!B15+Main!C15+Main!T15</f>
        <v>312.47537742906678</v>
      </c>
      <c r="C15" s="11">
        <f>Coordinates!T15</f>
        <v>-3.239493319287543</v>
      </c>
      <c r="D15" s="11">
        <f>Coordinates!V15</f>
        <v>-17.687482368956211</v>
      </c>
      <c r="E15" s="11">
        <f>Coordinates!Q15</f>
        <v>8.4115827893264701</v>
      </c>
      <c r="F15" s="11">
        <f>-Coordinates!P15</f>
        <v>148.61414415090175</v>
      </c>
      <c r="G15" s="11">
        <f>Coordinates!R15</f>
        <v>-47.468903591011419</v>
      </c>
      <c r="H15" s="11">
        <f t="shared" si="0"/>
        <v>151.23768871453339</v>
      </c>
      <c r="I15" s="11">
        <f t="shared" si="1"/>
        <v>110.1666966086446</v>
      </c>
      <c r="J15" s="11">
        <f>Main!C15</f>
        <v>69.141984211777583</v>
      </c>
      <c r="K15" s="11">
        <f t="shared" si="2"/>
        <v>72.141984211777583</v>
      </c>
      <c r="L15" s="11">
        <f>Main!R15</f>
        <v>4.5692435253148815</v>
      </c>
      <c r="M15" s="11">
        <f t="shared" si="3"/>
        <v>10.569243525314882</v>
      </c>
      <c r="N15" s="11">
        <f t="shared" si="4"/>
        <v>-34.570992105888791</v>
      </c>
      <c r="O15" s="11">
        <f>Main!D15</f>
        <v>2.2999999999999998</v>
      </c>
      <c r="P15" s="11">
        <f>O15+(2*Main!U15)</f>
        <v>6.3</v>
      </c>
      <c r="Q15" s="11">
        <f>Main!S15</f>
        <v>50</v>
      </c>
      <c r="R15" s="11">
        <f>Q15+(2*Main!U15)</f>
        <v>54</v>
      </c>
      <c r="S15" s="11">
        <v>25</v>
      </c>
      <c r="T15" s="11">
        <v>2</v>
      </c>
      <c r="U15" s="12">
        <f>Main!T15</f>
        <v>10</v>
      </c>
      <c r="V15" s="20">
        <f>(Coordinates!H15)/Coordinates!F15*SIGN(Coordinates!B15)</f>
        <v>-297.2282883018035</v>
      </c>
      <c r="W15" s="11">
        <f>V15*Coordinates!C15/Coordinates!B15</f>
        <v>16.82316557865294</v>
      </c>
      <c r="X15" s="11">
        <f>V15*Coordinates!D15/Coordinates!B15</f>
        <v>-94.937807182022837</v>
      </c>
      <c r="Y15" s="11">
        <f>(Coordinates!H15-(Main!T20/2))/Coordinates!F15*SIGN(Coordinates!B15)</f>
        <v>-292.47226095098807</v>
      </c>
      <c r="Z15" s="11">
        <f>Y15*Coordinates!C15/Coordinates!B15</f>
        <v>16.5539737191684</v>
      </c>
      <c r="AA15" s="12">
        <f>Y15*Coordinates!D15/Coordinates!B15</f>
        <v>-93.418682571899367</v>
      </c>
    </row>
    <row r="16" spans="1:27" ht="15" customHeight="1" x14ac:dyDescent="0.45">
      <c r="A16" s="13">
        <v>14</v>
      </c>
      <c r="B16" s="11">
        <f>Main!B16+Main!C16+Main!T16</f>
        <v>326.09553297462196</v>
      </c>
      <c r="C16" s="11">
        <f>Coordinates!T16</f>
        <v>8.6638982069119823</v>
      </c>
      <c r="D16" s="11">
        <f>Coordinates!V16</f>
        <v>-16.876335719996291</v>
      </c>
      <c r="E16" s="11">
        <f>Coordinates!Q16</f>
        <v>-23.503418083351697</v>
      </c>
      <c r="F16" s="11">
        <f>-Coordinates!P16</f>
        <v>154.24546952445661</v>
      </c>
      <c r="G16" s="11">
        <f>Coordinates!R16</f>
        <v>-47.333905671091635</v>
      </c>
      <c r="H16" s="11">
        <f t="shared" si="0"/>
        <v>158.04776648731098</v>
      </c>
      <c r="I16" s="11">
        <f t="shared" si="1"/>
        <v>115.2862528252368</v>
      </c>
      <c r="J16" s="11">
        <f>Main!C16</f>
        <v>72.523027324148345</v>
      </c>
      <c r="K16" s="11">
        <f t="shared" si="2"/>
        <v>75.523027324148345</v>
      </c>
      <c r="L16" s="11">
        <f>Main!R16</f>
        <v>4.4634507795533818</v>
      </c>
      <c r="M16" s="11">
        <f t="shared" si="3"/>
        <v>10.463450779553382</v>
      </c>
      <c r="N16" s="11">
        <f t="shared" si="4"/>
        <v>-36.261513662074172</v>
      </c>
      <c r="O16" s="11">
        <f>Main!D16</f>
        <v>2.2999999999999998</v>
      </c>
      <c r="P16" s="11">
        <f>O16+(2*Main!U16)</f>
        <v>6.3</v>
      </c>
      <c r="Q16" s="11">
        <f>Main!S16</f>
        <v>50</v>
      </c>
      <c r="R16" s="11">
        <f>Q16+(2*Main!U16)</f>
        <v>54</v>
      </c>
      <c r="S16" s="11">
        <v>25</v>
      </c>
      <c r="T16" s="11">
        <v>2</v>
      </c>
      <c r="U16" s="12">
        <f>Main!T16</f>
        <v>10</v>
      </c>
      <c r="V16" s="20">
        <f>(Coordinates!H16)/Coordinates!F16*SIGN(Coordinates!B16)</f>
        <v>-308.49093904891322</v>
      </c>
      <c r="W16" s="11">
        <f>V16*Coordinates!C16/Coordinates!B16</f>
        <v>-47.006836166703394</v>
      </c>
      <c r="X16" s="11">
        <f>V16*Coordinates!D16/Coordinates!B16</f>
        <v>-94.667811342183271</v>
      </c>
      <c r="Y16" s="11">
        <f>(Coordinates!H16-(Main!T21/2))/Coordinates!F16*SIGN(Coordinates!B16)</f>
        <v>-303.76086905631195</v>
      </c>
      <c r="Z16" s="11">
        <f>Y16*Coordinates!C16/Coordinates!B16</f>
        <v>-46.286083635414329</v>
      </c>
      <c r="AA16" s="12">
        <f>Y16*Coordinates!D16/Coordinates!B16</f>
        <v>-93.21627641193399</v>
      </c>
    </row>
    <row r="17" spans="1:27" ht="15" customHeight="1" x14ac:dyDescent="0.45">
      <c r="A17" s="13">
        <v>15</v>
      </c>
      <c r="B17" s="11">
        <f>Main!B17+Main!C17+Main!T17</f>
        <v>335.71156704736325</v>
      </c>
      <c r="C17" s="11">
        <f>Coordinates!T17</f>
        <v>20.157895203759942</v>
      </c>
      <c r="D17" s="11">
        <f>Coordinates!V17</f>
        <v>-16.347495951258296</v>
      </c>
      <c r="E17" s="11">
        <f>Coordinates!Q17</f>
        <v>-55.505998519896472</v>
      </c>
      <c r="F17" s="11">
        <f>-Coordinates!P17</f>
        <v>151.20367663941269</v>
      </c>
      <c r="G17" s="11">
        <f>Coordinates!R17</f>
        <v>-47.245067058712436</v>
      </c>
      <c r="H17" s="11">
        <f t="shared" si="0"/>
        <v>162.85578352368162</v>
      </c>
      <c r="I17" s="11">
        <f t="shared" si="1"/>
        <v>118.90420460341433</v>
      </c>
      <c r="J17" s="11">
        <f>Main!C17</f>
        <v>74.90315784053459</v>
      </c>
      <c r="K17" s="11">
        <f t="shared" si="2"/>
        <v>77.90315784053459</v>
      </c>
      <c r="L17" s="11">
        <f>Main!R17</f>
        <v>4.3947047430768258</v>
      </c>
      <c r="M17" s="11">
        <f t="shared" si="3"/>
        <v>10.394704743076826</v>
      </c>
      <c r="N17" s="11">
        <f t="shared" si="4"/>
        <v>-37.451578920267295</v>
      </c>
      <c r="O17" s="11">
        <f>Main!D17</f>
        <v>2.2999999999999998</v>
      </c>
      <c r="P17" s="11">
        <f>O17+(2*Main!U17)</f>
        <v>6.3</v>
      </c>
      <c r="Q17" s="11">
        <f>Main!S17</f>
        <v>50</v>
      </c>
      <c r="R17" s="11">
        <f>Q17+(2*Main!U17)</f>
        <v>54</v>
      </c>
      <c r="S17" s="11">
        <v>25</v>
      </c>
      <c r="T17" s="11">
        <v>2</v>
      </c>
      <c r="U17" s="12">
        <f>Main!T17</f>
        <v>10</v>
      </c>
      <c r="V17" s="20">
        <f>(Coordinates!H17)/Coordinates!F17*SIGN(Coordinates!B17)</f>
        <v>-302.40735327882538</v>
      </c>
      <c r="W17" s="11">
        <f>V17*Coordinates!C17/Coordinates!B17</f>
        <v>-111.01199703979294</v>
      </c>
      <c r="X17" s="11">
        <f>V17*Coordinates!D17/Coordinates!B17</f>
        <v>-94.490134117424873</v>
      </c>
      <c r="Y17" s="11">
        <f>(Coordinates!H17-(Main!T22/2))/Coordinates!F17*SIGN(Coordinates!B17)</f>
        <v>-297.90337750077066</v>
      </c>
      <c r="Z17" s="11">
        <f>Y17*Coordinates!C17/Coordinates!B17</f>
        <v>-109.3586134817559</v>
      </c>
      <c r="AA17" s="12">
        <f>Y17*Coordinates!D17/Coordinates!B17</f>
        <v>-93.082822850963623</v>
      </c>
    </row>
    <row r="18" spans="1:27" ht="15" customHeight="1" x14ac:dyDescent="0.45">
      <c r="A18" s="13">
        <v>16</v>
      </c>
      <c r="B18" s="11">
        <f>Main!B18+Main!C18+Main!T18</f>
        <v>341.49709368731715</v>
      </c>
      <c r="C18" s="11">
        <f>Coordinates!T18</f>
        <v>31.43690893995597</v>
      </c>
      <c r="D18" s="11">
        <f>Coordinates!V18</f>
        <v>-16.045193909560112</v>
      </c>
      <c r="E18" s="11">
        <f>Coordinates!Q18</f>
        <v>-85.586255793291642</v>
      </c>
      <c r="F18" s="11">
        <f>-Coordinates!P18</f>
        <v>140.00990401312455</v>
      </c>
      <c r="G18" s="11">
        <f>Coordinates!R18</f>
        <v>-47.19412936734787</v>
      </c>
      <c r="H18" s="11">
        <f t="shared" si="0"/>
        <v>165.74854684365857</v>
      </c>
      <c r="I18" s="11">
        <f t="shared" si="1"/>
        <v>121.08221627022516</v>
      </c>
      <c r="J18" s="11">
        <f>Main!C18</f>
        <v>76.332661146866826</v>
      </c>
      <c r="K18" s="11">
        <f t="shared" si="2"/>
        <v>79.332661146866826</v>
      </c>
      <c r="L18" s="11">
        <f>Main!R18</f>
        <v>4.3554766156798674</v>
      </c>
      <c r="M18" s="11">
        <f t="shared" si="3"/>
        <v>10.355476615679867</v>
      </c>
      <c r="N18" s="11">
        <f t="shared" si="4"/>
        <v>-38.166330573433413</v>
      </c>
      <c r="O18" s="11">
        <f>Main!D18</f>
        <v>2.2999999999999998</v>
      </c>
      <c r="P18" s="11">
        <f>O18+(2*Main!U18)</f>
        <v>6.3</v>
      </c>
      <c r="Q18" s="11">
        <f>Main!S18</f>
        <v>50</v>
      </c>
      <c r="R18" s="11">
        <f>Q18+(2*Main!U18)</f>
        <v>54</v>
      </c>
      <c r="S18" s="11">
        <v>25</v>
      </c>
      <c r="T18" s="11">
        <v>2</v>
      </c>
      <c r="U18" s="12">
        <f>Main!T18</f>
        <v>10</v>
      </c>
      <c r="V18" s="20">
        <f>(Coordinates!H18)/Coordinates!F18*SIGN(Coordinates!B18)</f>
        <v>-280.01980802624911</v>
      </c>
      <c r="W18" s="11">
        <f>V18*Coordinates!C18/Coordinates!B18</f>
        <v>-171.17251158658328</v>
      </c>
      <c r="X18" s="11">
        <f>V18*Coordinates!D18/Coordinates!B18</f>
        <v>-94.388258734695739</v>
      </c>
      <c r="Y18" s="11">
        <f>(Coordinates!H18-(Main!T23/2))/Coordinates!F18*SIGN(Coordinates!B18)</f>
        <v>-275.91992235807646</v>
      </c>
      <c r="Z18" s="11">
        <f>Y18*Coordinates!C18/Coordinates!B18</f>
        <v>-168.6663041436685</v>
      </c>
      <c r="AA18" s="12">
        <f>Y18*Coordinates!D18/Coordinates!B18</f>
        <v>-93.006281252610336</v>
      </c>
    </row>
    <row r="19" spans="1:27" ht="15" customHeight="1" x14ac:dyDescent="0.45">
      <c r="A19" s="13">
        <v>17</v>
      </c>
      <c r="B19" s="11">
        <f>Main!B19+Main!C19+Main!T19</f>
        <v>344.58480385863885</v>
      </c>
      <c r="C19" s="11">
        <f>Coordinates!T19</f>
        <v>42.608069578213971</v>
      </c>
      <c r="D19" s="11">
        <f>Coordinates!V19</f>
        <v>-15.888444468241502</v>
      </c>
      <c r="E19" s="11">
        <f>Coordinates!Q19</f>
        <v>-112.18245548928714</v>
      </c>
      <c r="F19" s="11">
        <f>-Coordinates!P19</f>
        <v>121.96302374742827</v>
      </c>
      <c r="G19" s="11">
        <f>Coordinates!R19</f>
        <v>-47.167671994200802</v>
      </c>
      <c r="H19" s="11">
        <f t="shared" si="0"/>
        <v>167.29240192931942</v>
      </c>
      <c r="I19" s="11">
        <f t="shared" si="1"/>
        <v>122.24497537014793</v>
      </c>
      <c r="J19" s="11">
        <f>Main!C19</f>
        <v>77.094853118342996</v>
      </c>
      <c r="K19" s="11">
        <f t="shared" si="2"/>
        <v>80.094853118342996</v>
      </c>
      <c r="L19" s="11">
        <f>Main!R19</f>
        <v>4.3351553139241812</v>
      </c>
      <c r="M19" s="11">
        <f t="shared" si="3"/>
        <v>10.335155313924181</v>
      </c>
      <c r="N19" s="11">
        <f t="shared" si="4"/>
        <v>-38.547426559171498</v>
      </c>
      <c r="O19" s="11">
        <f>Main!D19</f>
        <v>2.2999999999999998</v>
      </c>
      <c r="P19" s="11">
        <f>O19+(2*Main!U19)</f>
        <v>6.3</v>
      </c>
      <c r="Q19" s="11">
        <f>Main!S19</f>
        <v>50</v>
      </c>
      <c r="R19" s="11">
        <f>Q19+(2*Main!U19)</f>
        <v>54</v>
      </c>
      <c r="S19" s="11">
        <v>25</v>
      </c>
      <c r="T19" s="11">
        <v>2</v>
      </c>
      <c r="U19" s="12">
        <f>Main!T19</f>
        <v>10</v>
      </c>
      <c r="V19" s="20">
        <f>(Coordinates!H19)/Coordinates!F19*SIGN(Coordinates!B19)</f>
        <v>-243.92604749485653</v>
      </c>
      <c r="W19" s="11">
        <f>V19*Coordinates!C19/Coordinates!B19</f>
        <v>-224.36491097857427</v>
      </c>
      <c r="X19" s="11">
        <f>V19*Coordinates!D19/Coordinates!B19</f>
        <v>-94.335343988401604</v>
      </c>
      <c r="Y19" s="11">
        <f>(Coordinates!H19-(Main!T24/2))/Coordinates!F19*SIGN(Coordinates!B19)</f>
        <v>-240.38662781117651</v>
      </c>
      <c r="Z19" s="11">
        <f>Y19*Coordinates!C19/Coordinates!B19</f>
        <v>-221.10932761468024</v>
      </c>
      <c r="AA19" s="12">
        <f>Y19*Coordinates!D19/Coordinates!B19</f>
        <v>-92.966517752710999</v>
      </c>
    </row>
    <row r="20" spans="1:27" ht="15" customHeight="1" x14ac:dyDescent="0.45">
      <c r="A20" s="13">
        <v>18</v>
      </c>
      <c r="B20" s="11">
        <f>Main!B20+Main!C20+Main!T20</f>
        <v>346.51179370847194</v>
      </c>
      <c r="C20" s="11">
        <f>Coordinates!T20</f>
        <v>53.710732447177577</v>
      </c>
      <c r="D20" s="11">
        <f>Coordinates!V20</f>
        <v>-15.79219074787153</v>
      </c>
      <c r="E20" s="11">
        <f>Coordinates!Q20</f>
        <v>-134.37992283376937</v>
      </c>
      <c r="F20" s="11">
        <f>-Coordinates!P20</f>
        <v>98.673118070018631</v>
      </c>
      <c r="G20" s="11">
        <f>Coordinates!R20</f>
        <v>-47.151435866747548</v>
      </c>
      <c r="H20" s="11">
        <f t="shared" si="0"/>
        <v>168.25589685423597</v>
      </c>
      <c r="I20" s="11">
        <f t="shared" si="1"/>
        <v>122.97075848284237</v>
      </c>
      <c r="J20" s="11">
        <f>Main!C20</f>
        <v>77.570276742787186</v>
      </c>
      <c r="K20" s="11">
        <f t="shared" si="2"/>
        <v>80.570276742787186</v>
      </c>
      <c r="L20" s="11">
        <f>Main!R20</f>
        <v>4.3226819677369424</v>
      </c>
      <c r="M20" s="11">
        <f t="shared" si="3"/>
        <v>10.322681967736942</v>
      </c>
      <c r="N20" s="11">
        <f t="shared" si="4"/>
        <v>-38.785138371393593</v>
      </c>
      <c r="O20" s="11">
        <f>Main!D20</f>
        <v>2.2999999999999998</v>
      </c>
      <c r="P20" s="11">
        <f>O20+(2*Main!U20)</f>
        <v>6.3</v>
      </c>
      <c r="Q20" s="11">
        <f>Main!S20</f>
        <v>50</v>
      </c>
      <c r="R20" s="11">
        <f>Q20+(2*Main!U20)</f>
        <v>54</v>
      </c>
      <c r="S20" s="11">
        <v>25</v>
      </c>
      <c r="T20" s="11">
        <v>2</v>
      </c>
      <c r="U20" s="12">
        <f>Main!T20</f>
        <v>10</v>
      </c>
      <c r="V20" s="20">
        <f>(Coordinates!H20)/Coordinates!F20*SIGN(Coordinates!B20)</f>
        <v>-197.34623614003726</v>
      </c>
      <c r="W20" s="11">
        <f>V20*Coordinates!C20/Coordinates!B20</f>
        <v>-268.75984566753874</v>
      </c>
      <c r="X20" s="11">
        <f>V20*Coordinates!D20/Coordinates!B20</f>
        <v>-94.302871733495095</v>
      </c>
      <c r="Y20" s="11">
        <f>(Coordinates!H20-(Main!T25/2))/Coordinates!F20*SIGN(Coordinates!B20)</f>
        <v>-194.49862402808029</v>
      </c>
      <c r="Z20" s="11">
        <f>Y20*Coordinates!C20/Coordinates!B20</f>
        <v>-264.88176921318217</v>
      </c>
      <c r="AA20" s="12">
        <f>Y20*Coordinates!D20/Coordinates!B20</f>
        <v>-92.942126248843081</v>
      </c>
    </row>
    <row r="21" spans="1:27" ht="15" customHeight="1" x14ac:dyDescent="0.45">
      <c r="A21" s="13">
        <v>19</v>
      </c>
      <c r="B21" s="11">
        <f>Main!B21+Main!C21+Main!T21</f>
        <v>348.73569261469339</v>
      </c>
      <c r="C21" s="11">
        <f>Coordinates!T21</f>
        <v>64.726671254963591</v>
      </c>
      <c r="D21" s="11">
        <f>Coordinates!V21</f>
        <v>-15.682560708620471</v>
      </c>
      <c r="E21" s="11">
        <f>Coordinates!Q21</f>
        <v>-151.80790199734423</v>
      </c>
      <c r="F21" s="11">
        <f>-Coordinates!P21</f>
        <v>71.672828766518435</v>
      </c>
      <c r="G21" s="11">
        <f>Coordinates!R21</f>
        <v>-47.132921972147443</v>
      </c>
      <c r="H21" s="11">
        <f t="shared" si="0"/>
        <v>169.3678463073467</v>
      </c>
      <c r="I21" s="11">
        <f t="shared" si="1"/>
        <v>123.80848549681059</v>
      </c>
      <c r="J21" s="11">
        <f>Main!C21</f>
        <v>78.118721621072226</v>
      </c>
      <c r="K21" s="11">
        <f t="shared" si="2"/>
        <v>81.118721621072226</v>
      </c>
      <c r="L21" s="11">
        <f>Main!R21</f>
        <v>4.3084814080940719</v>
      </c>
      <c r="M21" s="11">
        <f t="shared" si="3"/>
        <v>10.308481408094071</v>
      </c>
      <c r="N21" s="11">
        <f t="shared" si="4"/>
        <v>-39.059360810536113</v>
      </c>
      <c r="O21" s="11">
        <f>Main!D21</f>
        <v>2.2999999999999998</v>
      </c>
      <c r="P21" s="11">
        <f>O21+(2*Main!U21)</f>
        <v>6.3</v>
      </c>
      <c r="Q21" s="11">
        <f>Main!S21</f>
        <v>50</v>
      </c>
      <c r="R21" s="11">
        <f>Q21+(2*Main!U21)</f>
        <v>54</v>
      </c>
      <c r="S21" s="11">
        <v>25</v>
      </c>
      <c r="T21" s="11">
        <v>2</v>
      </c>
      <c r="U21" s="12">
        <f>Main!T21</f>
        <v>10</v>
      </c>
      <c r="V21" s="20">
        <f>(Coordinates!H21)/Coordinates!F21*SIGN(Coordinates!B21)</f>
        <v>-143.34565753303687</v>
      </c>
      <c r="W21" s="11">
        <f>V21*Coordinates!C21/Coordinates!B21</f>
        <v>-303.61580399468846</v>
      </c>
      <c r="X21" s="11">
        <f>V21*Coordinates!D21/Coordinates!B21</f>
        <v>-94.265843944294886</v>
      </c>
      <c r="Y21" s="11">
        <f>(Coordinates!H21-(Main!T26/2))/Coordinates!F21*SIGN(Coordinates!B21)</f>
        <v>-141.29043834313572</v>
      </c>
      <c r="Z21" s="11">
        <f>Y21*Coordinates!C21/Coordinates!B21</f>
        <v>-299.2627106574638</v>
      </c>
      <c r="AA21" s="12">
        <f>Y21*Coordinates!D21/Coordinates!B21</f>
        <v>-92.914306864199574</v>
      </c>
    </row>
    <row r="22" spans="1:27" ht="15" customHeight="1" x14ac:dyDescent="0.45">
      <c r="A22" s="13">
        <v>20</v>
      </c>
      <c r="B22" s="11">
        <f>Main!B22+Main!C22+Main!T22</f>
        <v>352.35477554530922</v>
      </c>
      <c r="C22" s="11">
        <f>Coordinates!T22</f>
        <v>75.600013566373519</v>
      </c>
      <c r="D22" s="11">
        <f>Coordinates!V22</f>
        <v>-15.507419857603267</v>
      </c>
      <c r="E22" s="11">
        <f>Coordinates!Q22</f>
        <v>-164.43036564395626</v>
      </c>
      <c r="F22" s="11">
        <f>-Coordinates!P22</f>
        <v>42.218500716561302</v>
      </c>
      <c r="G22" s="11">
        <f>Coordinates!R22</f>
        <v>-47.103343977226011</v>
      </c>
      <c r="H22" s="11">
        <f t="shared" si="0"/>
        <v>171.17738777265461</v>
      </c>
      <c r="I22" s="11">
        <f t="shared" si="1"/>
        <v>125.17202749966486</v>
      </c>
      <c r="J22" s="11">
        <f>Main!C22</f>
        <v>79.010720545979495</v>
      </c>
      <c r="K22" s="11">
        <f t="shared" si="2"/>
        <v>82.010720545979495</v>
      </c>
      <c r="L22" s="11">
        <f>Main!R22</f>
        <v>4.2858064692460767</v>
      </c>
      <c r="M22" s="11">
        <f t="shared" si="3"/>
        <v>10.285806469246076</v>
      </c>
      <c r="N22" s="11">
        <f t="shared" si="4"/>
        <v>-39.505360272989748</v>
      </c>
      <c r="O22" s="11">
        <f>Main!D22</f>
        <v>2.2999999999999998</v>
      </c>
      <c r="P22" s="11">
        <f>O22+(2*Main!U22)</f>
        <v>6.3</v>
      </c>
      <c r="Q22" s="11">
        <f>Main!S22</f>
        <v>50</v>
      </c>
      <c r="R22" s="11">
        <f>Q22+(2*Main!U22)</f>
        <v>54</v>
      </c>
      <c r="S22" s="11">
        <v>25</v>
      </c>
      <c r="T22" s="11">
        <v>2</v>
      </c>
      <c r="U22" s="12">
        <f>Main!T22</f>
        <v>10</v>
      </c>
      <c r="V22" s="20">
        <f>(Coordinates!H22)/Coordinates!F22*SIGN(Coordinates!B22)</f>
        <v>-84.437001433122603</v>
      </c>
      <c r="W22" s="11">
        <f>V22*Coordinates!C22/Coordinates!B22</f>
        <v>-328.86073128791253</v>
      </c>
      <c r="X22" s="11">
        <f>V22*Coordinates!D22/Coordinates!B22</f>
        <v>-94.206687954452022</v>
      </c>
      <c r="Y22" s="11">
        <f>(Coordinates!H22-(Main!T27/2))/Coordinates!F22*SIGN(Coordinates!B22)</f>
        <v>-83.238819837563881</v>
      </c>
      <c r="Z22" s="11">
        <f>Y22*Coordinates!C22/Coordinates!B22</f>
        <v>-324.19411749249906</v>
      </c>
      <c r="AA22" s="12">
        <f>Y22*Coordinates!D22/Coordinates!B22</f>
        <v>-92.869872129994178</v>
      </c>
    </row>
    <row r="23" spans="1:27" ht="15" customHeight="1" x14ac:dyDescent="0.45">
      <c r="A23" s="13">
        <v>21</v>
      </c>
      <c r="B23" s="11">
        <f>Main!B23+Main!C23+Main!T23</f>
        <v>383.3976787420288</v>
      </c>
      <c r="C23" s="11">
        <f>Coordinates!T23</f>
        <v>194.25421527179265</v>
      </c>
      <c r="D23" s="11">
        <f>Coordinates!V23</f>
        <v>-4.6857380217625604</v>
      </c>
      <c r="E23" s="11">
        <f>Coordinates!Q23</f>
        <v>47.043212511309875</v>
      </c>
      <c r="F23" s="11">
        <f>-Coordinates!P23</f>
        <v>-185.17598882807604</v>
      </c>
      <c r="G23" s="11">
        <f>Coordinates!R23</f>
        <v>-15.659959589793919</v>
      </c>
      <c r="H23" s="11">
        <f t="shared" si="0"/>
        <v>186.6988393710144</v>
      </c>
      <c r="I23" s="11">
        <f t="shared" si="1"/>
        <v>136.87971742316586</v>
      </c>
      <c r="J23" s="11">
        <f>Main!C23</f>
        <v>86.638243895697059</v>
      </c>
      <c r="K23" s="11">
        <f t="shared" si="2"/>
        <v>89.638243895697059</v>
      </c>
      <c r="L23" s="11">
        <f>Main!R23</f>
        <v>4.1109785349399557</v>
      </c>
      <c r="M23" s="11">
        <f t="shared" si="3"/>
        <v>10.110978534939957</v>
      </c>
      <c r="N23" s="11">
        <f t="shared" si="4"/>
        <v>-43.319121947848529</v>
      </c>
      <c r="O23" s="11">
        <f>Main!D23</f>
        <v>2.2999999999999998</v>
      </c>
      <c r="P23" s="11">
        <f>O23+(2*Main!U23)</f>
        <v>6.3</v>
      </c>
      <c r="Q23" s="11">
        <f>Main!S23</f>
        <v>50</v>
      </c>
      <c r="R23" s="11">
        <f>Q23+(2*Main!U23)</f>
        <v>54</v>
      </c>
      <c r="S23" s="11">
        <v>25</v>
      </c>
      <c r="T23" s="11">
        <v>2</v>
      </c>
      <c r="U23" s="12">
        <f>Main!T23</f>
        <v>10</v>
      </c>
      <c r="V23" s="20">
        <f>(Coordinates!H23)/Coordinates!F23*SIGN(Coordinates!B23)</f>
        <v>370.35197765615209</v>
      </c>
      <c r="W23" s="11">
        <f>V23*Coordinates!C23/Coordinates!B23</f>
        <v>94.08642502261975</v>
      </c>
      <c r="X23" s="11">
        <f>V23*Coordinates!D23/Coordinates!B23</f>
        <v>-31.319919179587838</v>
      </c>
      <c r="Y23" s="11">
        <f>(Coordinates!H23-(Main!T28/2))/Coordinates!F23*SIGN(Coordinates!B23)</f>
        <v>365.52211041658876</v>
      </c>
      <c r="Z23" s="11">
        <f>Y23*Coordinates!C23/Coordinates!B23</f>
        <v>92.859416745843959</v>
      </c>
      <c r="AA23" s="12">
        <f>Y23*Coordinates!D23/Coordinates!B23</f>
        <v>-30.911467056424861</v>
      </c>
    </row>
    <row r="24" spans="1:27" ht="15" customHeight="1" x14ac:dyDescent="0.45">
      <c r="A24" s="13">
        <v>22</v>
      </c>
      <c r="B24" s="11">
        <f>Main!B24+Main!C24+Main!T24</f>
        <v>356.61047956008878</v>
      </c>
      <c r="C24" s="11">
        <f>Coordinates!T24</f>
        <v>203.82696836245557</v>
      </c>
      <c r="D24" s="11">
        <f>Coordinates!V24</f>
        <v>-5.0600077517283495</v>
      </c>
      <c r="E24" s="11">
        <f>Coordinates!Q24</f>
        <v>71.75030746872379</v>
      </c>
      <c r="F24" s="11">
        <f>-Coordinates!P24</f>
        <v>-162.47256317272283</v>
      </c>
      <c r="G24" s="11">
        <f>Coordinates!R24</f>
        <v>-15.726351364773606</v>
      </c>
      <c r="H24" s="11">
        <f t="shared" si="0"/>
        <v>173.30523978004439</v>
      </c>
      <c r="I24" s="11">
        <f t="shared" si="1"/>
        <v>126.77582374010112</v>
      </c>
      <c r="J24" s="11">
        <f>Main!C24</f>
        <v>80.058832079886542</v>
      </c>
      <c r="K24" s="11">
        <f t="shared" si="2"/>
        <v>83.058832079886542</v>
      </c>
      <c r="L24" s="11">
        <f>Main!R24</f>
        <v>4.2598087546847747</v>
      </c>
      <c r="M24" s="11">
        <f t="shared" si="3"/>
        <v>10.259808754684775</v>
      </c>
      <c r="N24" s="11">
        <f t="shared" si="4"/>
        <v>-40.029416039943271</v>
      </c>
      <c r="O24" s="11">
        <f>Main!D24</f>
        <v>2.2999999999999998</v>
      </c>
      <c r="P24" s="11">
        <f>O24+(2*Main!U24)</f>
        <v>6.3</v>
      </c>
      <c r="Q24" s="11">
        <f>Main!S24</f>
        <v>50</v>
      </c>
      <c r="R24" s="11">
        <f>Q24+(2*Main!U24)</f>
        <v>54</v>
      </c>
      <c r="S24" s="11">
        <v>25</v>
      </c>
      <c r="T24" s="11">
        <v>2</v>
      </c>
      <c r="U24" s="12">
        <f>Main!T24</f>
        <v>10</v>
      </c>
      <c r="V24" s="20">
        <f>(Coordinates!H24)/Coordinates!F24*SIGN(Coordinates!B24)</f>
        <v>324.94512634544566</v>
      </c>
      <c r="W24" s="11">
        <f>V24*Coordinates!C24/Coordinates!B24</f>
        <v>143.50061493744758</v>
      </c>
      <c r="X24" s="11">
        <f>V24*Coordinates!D24/Coordinates!B24</f>
        <v>-31.452702729547212</v>
      </c>
      <c r="Y24" s="11">
        <f>(Coordinates!H24-(Main!T29/2))/Coordinates!F24*SIGN(Coordinates!B24)</f>
        <v>320.38910310762191</v>
      </c>
      <c r="Z24" s="11">
        <f>Y24*Coordinates!C24/Coordinates!B24</f>
        <v>141.48860711431141</v>
      </c>
      <c r="AA24" s="12">
        <f>Y24*Coordinates!D24/Coordinates!B24</f>
        <v>-31.011707518633234</v>
      </c>
    </row>
    <row r="25" spans="1:27" ht="15" customHeight="1" x14ac:dyDescent="0.45">
      <c r="A25" s="13">
        <v>23</v>
      </c>
      <c r="B25" s="11">
        <f>Main!B25+Main!C25+Main!T25</f>
        <v>327.45317793285608</v>
      </c>
      <c r="C25" s="11">
        <f>Coordinates!T25</f>
        <v>214.20866325954427</v>
      </c>
      <c r="D25" s="11">
        <f>Coordinates!V25</f>
        <v>-5.5415905561850707</v>
      </c>
      <c r="E25" s="11">
        <f>Coordinates!Q25</f>
        <v>91.618267026463087</v>
      </c>
      <c r="F25" s="11">
        <f>-Coordinates!P25</f>
        <v>-134.76834885608301</v>
      </c>
      <c r="G25" s="11">
        <f>Coordinates!R25</f>
        <v>-15.810794674983985</v>
      </c>
      <c r="H25" s="11">
        <f t="shared" si="0"/>
        <v>158.72658896642804</v>
      </c>
      <c r="I25" s="11">
        <f t="shared" si="1"/>
        <v>115.79688990603974</v>
      </c>
      <c r="J25" s="11">
        <f>Main!C25</f>
        <v>72.859398120776603</v>
      </c>
      <c r="K25" s="11">
        <f t="shared" si="2"/>
        <v>75.859398120776603</v>
      </c>
      <c r="L25" s="11">
        <f>Main!R25</f>
        <v>4.4534627521889778</v>
      </c>
      <c r="M25" s="11">
        <f t="shared" si="3"/>
        <v>10.453462752188978</v>
      </c>
      <c r="N25" s="11">
        <f t="shared" si="4"/>
        <v>-36.429699060388302</v>
      </c>
      <c r="O25" s="11">
        <f>Main!D25</f>
        <v>2.2999999999999998</v>
      </c>
      <c r="P25" s="11">
        <f>O25+(2*Main!U25)</f>
        <v>6.3</v>
      </c>
      <c r="Q25" s="11">
        <f>Main!S25</f>
        <v>50</v>
      </c>
      <c r="R25" s="11">
        <f>Q25+(2*Main!U25)</f>
        <v>54</v>
      </c>
      <c r="S25" s="11">
        <v>25</v>
      </c>
      <c r="T25" s="11">
        <v>2</v>
      </c>
      <c r="U25" s="12">
        <f>Main!T25</f>
        <v>10</v>
      </c>
      <c r="V25" s="20">
        <f>(Coordinates!H25)/Coordinates!F25*SIGN(Coordinates!B25)</f>
        <v>269.53669771216602</v>
      </c>
      <c r="W25" s="11">
        <f>V25*Coordinates!C25/Coordinates!B25</f>
        <v>183.23653405292617</v>
      </c>
      <c r="X25" s="11">
        <f>V25*Coordinates!D25/Coordinates!B25</f>
        <v>-31.621589349967969</v>
      </c>
      <c r="Y25" s="11">
        <f>(Coordinates!H25-(Main!T30/2))/Coordinates!F25*SIGN(Coordinates!B25)</f>
        <v>265.42104521775906</v>
      </c>
      <c r="Z25" s="11">
        <f>Y25*Coordinates!C25/Coordinates!B25</f>
        <v>180.43862970504864</v>
      </c>
      <c r="AA25" s="12">
        <f>Y25*Coordinates!D25/Coordinates!B25</f>
        <v>-31.138747962542919</v>
      </c>
    </row>
    <row r="26" spans="1:27" ht="15" customHeight="1" x14ac:dyDescent="0.45">
      <c r="A26" s="13">
        <v>24</v>
      </c>
      <c r="B26" s="11">
        <f>Main!B26+Main!C26+Main!T26</f>
        <v>298.6268645309305</v>
      </c>
      <c r="C26" s="11">
        <f>Coordinates!T26</f>
        <v>225.62677044979472</v>
      </c>
      <c r="D26" s="11">
        <f>Coordinates!V26</f>
        <v>-6.1168550351912359</v>
      </c>
      <c r="E26" s="11">
        <f>Coordinates!Q26</f>
        <v>106.12152029273751</v>
      </c>
      <c r="F26" s="11">
        <f>-Coordinates!P26</f>
        <v>-103.82478240330767</v>
      </c>
      <c r="G26" s="11">
        <f>Coordinates!R26</f>
        <v>-15.910328235382153</v>
      </c>
      <c r="H26" s="11">
        <f t="shared" si="0"/>
        <v>144.31343226546525</v>
      </c>
      <c r="I26" s="11">
        <f t="shared" si="1"/>
        <v>104.96801389074581</v>
      </c>
      <c r="J26" s="11">
        <f>Main!C26</f>
        <v>65.690836749438887</v>
      </c>
      <c r="K26" s="11">
        <f t="shared" si="2"/>
        <v>68.690836749438887</v>
      </c>
      <c r="L26" s="11">
        <f>Main!R26</f>
        <v>4.6884609751350164</v>
      </c>
      <c r="M26" s="11">
        <f t="shared" si="3"/>
        <v>10.688460975135015</v>
      </c>
      <c r="N26" s="11">
        <f t="shared" si="4"/>
        <v>-32.845418374719443</v>
      </c>
      <c r="O26" s="11">
        <f>Main!D26</f>
        <v>2.2999999999999998</v>
      </c>
      <c r="P26" s="11">
        <f>O26+(2*Main!U26)</f>
        <v>6.3</v>
      </c>
      <c r="Q26" s="11">
        <f>Main!S26</f>
        <v>50</v>
      </c>
      <c r="R26" s="11">
        <f>Q26+(2*Main!U26)</f>
        <v>54</v>
      </c>
      <c r="S26" s="11">
        <v>25</v>
      </c>
      <c r="T26" s="11">
        <v>2</v>
      </c>
      <c r="U26" s="12">
        <f>Main!T26</f>
        <v>10</v>
      </c>
      <c r="V26" s="20">
        <f>(Coordinates!H26)/Coordinates!F26*SIGN(Coordinates!B26)</f>
        <v>207.64956480661533</v>
      </c>
      <c r="W26" s="11">
        <f>V26*Coordinates!C26/Coordinates!B26</f>
        <v>212.24304058547503</v>
      </c>
      <c r="X26" s="11">
        <f>V26*Coordinates!D26/Coordinates!B26</f>
        <v>-31.820656470764305</v>
      </c>
      <c r="Y26" s="11">
        <f>(Coordinates!H26-(Main!T31/2))/Coordinates!F26*SIGN(Coordinates!B26)</f>
        <v>204.17282527862977</v>
      </c>
      <c r="Z26" s="11">
        <f>Y26*Coordinates!C26/Coordinates!B26</f>
        <v>208.68939110188188</v>
      </c>
      <c r="AA26" s="12">
        <f>Y26*Coordinates!D26/Coordinates!B26</f>
        <v>-31.287873585996948</v>
      </c>
    </row>
    <row r="27" spans="1:27" ht="15" customHeight="1" x14ac:dyDescent="0.45">
      <c r="A27" s="13">
        <v>25</v>
      </c>
      <c r="B27" s="11">
        <f>Main!B27+Main!C27+Main!T27</f>
        <v>272.75515965083736</v>
      </c>
      <c r="C27" s="11">
        <f>Coordinates!T27</f>
        <v>238.2838922870865</v>
      </c>
      <c r="D27" s="11">
        <f>Coordinates!V27</f>
        <v>-6.7448059162242942</v>
      </c>
      <c r="E27" s="11">
        <f>Coordinates!Q27</f>
        <v>115.20850630568947</v>
      </c>
      <c r="F27" s="11">
        <f>-Coordinates!P27</f>
        <v>-71.198974946724505</v>
      </c>
      <c r="G27" s="11">
        <f>Coordinates!R27</f>
        <v>-16.017188279659223</v>
      </c>
      <c r="H27" s="11">
        <f t="shared" si="0"/>
        <v>131.37757982541868</v>
      </c>
      <c r="I27" s="11">
        <f t="shared" si="1"/>
        <v>95.277926990617672</v>
      </c>
      <c r="J27" s="11">
        <f>Main!C27</f>
        <v>59.199305669602019</v>
      </c>
      <c r="K27" s="11">
        <f t="shared" si="2"/>
        <v>62.199305669602019</v>
      </c>
      <c r="L27" s="11">
        <f>Main!R27</f>
        <v>4.9503689228329222</v>
      </c>
      <c r="M27" s="11">
        <f t="shared" si="3"/>
        <v>10.950368922832922</v>
      </c>
      <c r="N27" s="11">
        <f t="shared" si="4"/>
        <v>-29.59965283480101</v>
      </c>
      <c r="O27" s="11">
        <f>Main!D27</f>
        <v>2.2999999999999998</v>
      </c>
      <c r="P27" s="11">
        <f>O27+(2*Main!U27)</f>
        <v>6.3</v>
      </c>
      <c r="Q27" s="11">
        <f>Main!S27</f>
        <v>50</v>
      </c>
      <c r="R27" s="11">
        <f>Q27+(2*Main!U27)</f>
        <v>54</v>
      </c>
      <c r="S27" s="11">
        <v>25</v>
      </c>
      <c r="T27" s="11">
        <v>2</v>
      </c>
      <c r="U27" s="12">
        <f>Main!T27</f>
        <v>10</v>
      </c>
      <c r="V27" s="20">
        <f>(Coordinates!H27)/Coordinates!F27*SIGN(Coordinates!B27)</f>
        <v>142.39794989344901</v>
      </c>
      <c r="W27" s="11">
        <f>V27*Coordinates!C27/Coordinates!B27</f>
        <v>230.41701261137894</v>
      </c>
      <c r="X27" s="11">
        <f>V27*Coordinates!D27/Coordinates!B27</f>
        <v>-32.034376559318446</v>
      </c>
      <c r="Y27" s="11">
        <f>(Coordinates!H27-(Main!T32/2))/Coordinates!F27*SIGN(Coordinates!B27)</f>
        <v>139.78758772695988</v>
      </c>
      <c r="Z27" s="11">
        <f>Y27*Coordinates!C27/Coordinates!B27</f>
        <v>226.19313261390528</v>
      </c>
      <c r="AA27" s="12">
        <f>Y27*Coordinates!D27/Coordinates!B27</f>
        <v>-31.447139701905254</v>
      </c>
    </row>
    <row r="28" spans="1:27" ht="15" customHeight="1" x14ac:dyDescent="0.45">
      <c r="A28" s="13">
        <v>26</v>
      </c>
      <c r="B28" s="11">
        <f>Main!B28+Main!C28+Main!T28</f>
        <v>252.11938324520997</v>
      </c>
      <c r="C28" s="11">
        <f>Coordinates!T28</f>
        <v>252.29800500153047</v>
      </c>
      <c r="D28" s="11">
        <f>Coordinates!V28</f>
        <v>-7.345830502233639</v>
      </c>
      <c r="E28" s="11">
        <f>Coordinates!Q28</f>
        <v>119.10523055761718</v>
      </c>
      <c r="F28" s="11">
        <f>-Coordinates!P28</f>
        <v>-38.015897373005004</v>
      </c>
      <c r="G28" s="11">
        <f>Coordinates!R28</f>
        <v>-16.117737208686254</v>
      </c>
      <c r="H28" s="11">
        <f t="shared" si="0"/>
        <v>121.05969162260499</v>
      </c>
      <c r="I28" s="11">
        <f t="shared" si="1"/>
        <v>87.575084245847989</v>
      </c>
      <c r="J28" s="11">
        <f>Main!C28</f>
        <v>53.969214753514009</v>
      </c>
      <c r="K28" s="11">
        <f t="shared" si="2"/>
        <v>56.969214753514009</v>
      </c>
      <c r="L28" s="11">
        <f>Main!R28</f>
        <v>5.2072129493932282</v>
      </c>
      <c r="M28" s="11">
        <f t="shared" si="3"/>
        <v>11.207212949393227</v>
      </c>
      <c r="N28" s="11">
        <f t="shared" si="4"/>
        <v>-26.984607376757005</v>
      </c>
      <c r="O28" s="11">
        <f>Main!D28</f>
        <v>2.2999999999999998</v>
      </c>
      <c r="P28" s="11">
        <f>O28+(2*Main!U28)</f>
        <v>6.3</v>
      </c>
      <c r="Q28" s="11">
        <f>Main!S28</f>
        <v>50</v>
      </c>
      <c r="R28" s="11">
        <f>Q28+(2*Main!U28)</f>
        <v>54</v>
      </c>
      <c r="S28" s="11">
        <v>25</v>
      </c>
      <c r="T28" s="11">
        <v>2</v>
      </c>
      <c r="U28" s="12">
        <f>Main!T28</f>
        <v>10</v>
      </c>
      <c r="V28" s="20">
        <f>(Coordinates!H28)/Coordinates!F28*SIGN(Coordinates!B28)</f>
        <v>76.031794746010007</v>
      </c>
      <c r="W28" s="11">
        <f>V28*Coordinates!C28/Coordinates!B28</f>
        <v>238.21046111523435</v>
      </c>
      <c r="X28" s="11">
        <f>V28*Coordinates!D28/Coordinates!B28</f>
        <v>-32.235474417372508</v>
      </c>
      <c r="Y28" s="11">
        <f>(Coordinates!H28-(Main!T33/2))/Coordinates!F28*SIGN(Coordinates!B28)</f>
        <v>74.523941724807315</v>
      </c>
      <c r="Z28" s="11">
        <f>Y28*Coordinates!C28/Coordinates!B28</f>
        <v>233.48630111513728</v>
      </c>
      <c r="AA28" s="12">
        <f>Y28*Coordinates!D28/Coordinates!B28</f>
        <v>-31.596184530128486</v>
      </c>
    </row>
    <row r="29" spans="1:27" ht="15" customHeight="1" x14ac:dyDescent="0.45">
      <c r="A29" s="13">
        <v>27</v>
      </c>
      <c r="B29" s="11">
        <f>Main!B29+Main!C29+Main!T29</f>
        <v>238.54381560571485</v>
      </c>
      <c r="C29" s="11">
        <f>Coordinates!T29</f>
        <v>267.61151444724294</v>
      </c>
      <c r="D29" s="11">
        <f>Coordinates!V29</f>
        <v>-7.802899565609323</v>
      </c>
      <c r="E29" s="11">
        <f>Coordinates!Q29</f>
        <v>118.06490478345086</v>
      </c>
      <c r="F29" s="11">
        <f>-Coordinates!P29</f>
        <v>-4.9246172497334779</v>
      </c>
      <c r="G29" s="11">
        <f>Coordinates!R29</f>
        <v>-16.193035365601855</v>
      </c>
      <c r="H29" s="11">
        <f t="shared" si="0"/>
        <v>114.27190780285743</v>
      </c>
      <c r="I29" s="11">
        <f t="shared" si="1"/>
        <v>82.523950971583432</v>
      </c>
      <c r="J29" s="11">
        <f>Main!C29</f>
        <v>50.495913662547991</v>
      </c>
      <c r="K29" s="11">
        <f t="shared" si="2"/>
        <v>53.495913662547991</v>
      </c>
      <c r="L29" s="11">
        <f>Main!R29</f>
        <v>5.4071821187061762</v>
      </c>
      <c r="M29" s="11">
        <f t="shared" si="3"/>
        <v>11.407182118706176</v>
      </c>
      <c r="N29" s="11">
        <f t="shared" si="4"/>
        <v>-25.247956831273996</v>
      </c>
      <c r="O29" s="11">
        <f>Main!D29</f>
        <v>2.2999999999999998</v>
      </c>
      <c r="P29" s="11">
        <f>O29+(2*Main!U29)</f>
        <v>6.3</v>
      </c>
      <c r="Q29" s="11">
        <f>Main!S29</f>
        <v>50</v>
      </c>
      <c r="R29" s="11">
        <f>Q29+(2*Main!U29)</f>
        <v>54</v>
      </c>
      <c r="S29" s="11">
        <v>25</v>
      </c>
      <c r="T29" s="11">
        <v>2</v>
      </c>
      <c r="U29" s="12">
        <f>Main!T29</f>
        <v>10</v>
      </c>
      <c r="V29" s="20">
        <f>(Coordinates!H29)/Coordinates!F29*SIGN(Coordinates!B29)</f>
        <v>9.8492344994669558</v>
      </c>
      <c r="W29" s="11">
        <f>V29*Coordinates!C29/Coordinates!B29</f>
        <v>236.12980956690171</v>
      </c>
      <c r="X29" s="11">
        <f>V29*Coordinates!D29/Coordinates!B29</f>
        <v>-32.386070731203709</v>
      </c>
      <c r="Y29" s="11">
        <f>(Coordinates!H29-(Main!T34/2))/Coordinates!F29*SIGN(Coordinates!B29)</f>
        <v>9.6427895225880196</v>
      </c>
      <c r="Z29" s="11">
        <f>Y29*Coordinates!C29/Coordinates!B29</f>
        <v>231.18040836429</v>
      </c>
      <c r="AA29" s="12">
        <f>Y29*Coordinates!D29/Coordinates!B29</f>
        <v>-31.707242176186075</v>
      </c>
    </row>
    <row r="30" spans="1:27" ht="15" customHeight="1" x14ac:dyDescent="0.45">
      <c r="A30" s="13">
        <v>28</v>
      </c>
      <c r="B30" s="11">
        <f>Main!B30+Main!C30+Main!T30</f>
        <v>233.29803968207671</v>
      </c>
      <c r="C30" s="11">
        <f>Coordinates!T30</f>
        <v>-75.987502531244289</v>
      </c>
      <c r="D30" s="11">
        <f>Coordinates!V30</f>
        <v>-7.9950336044149566</v>
      </c>
      <c r="E30" s="11">
        <f>Coordinates!Q30</f>
        <v>112.07781282472351</v>
      </c>
      <c r="F30" s="11">
        <f>-Coordinates!P30</f>
        <v>27.970104993122195</v>
      </c>
      <c r="G30" s="11">
        <f>Coordinates!R30</f>
        <v>-16.224393023312807</v>
      </c>
      <c r="H30" s="11">
        <f t="shared" si="0"/>
        <v>111.64901984103835</v>
      </c>
      <c r="I30" s="11">
        <f t="shared" si="1"/>
        <v>80.576268866810082</v>
      </c>
      <c r="J30" s="11">
        <f>Main!C30</f>
        <v>49.145501948456534</v>
      </c>
      <c r="K30" s="11">
        <f t="shared" si="2"/>
        <v>52.145501948456534</v>
      </c>
      <c r="L30" s="11">
        <f>Main!R30</f>
        <v>5.4925607386115551</v>
      </c>
      <c r="M30" s="11">
        <f t="shared" si="3"/>
        <v>11.492560738611555</v>
      </c>
      <c r="N30" s="11">
        <f t="shared" si="4"/>
        <v>-24.572750974228267</v>
      </c>
      <c r="O30" s="11">
        <f>Main!D30</f>
        <v>2.2999999999999998</v>
      </c>
      <c r="P30" s="11">
        <f>O30+(2*Main!U30)</f>
        <v>6.3</v>
      </c>
      <c r="Q30" s="11">
        <f>Main!S30</f>
        <v>50</v>
      </c>
      <c r="R30" s="11">
        <f>Q30+(2*Main!U30)</f>
        <v>54</v>
      </c>
      <c r="S30" s="11">
        <v>25</v>
      </c>
      <c r="T30" s="11">
        <v>2</v>
      </c>
      <c r="U30" s="12">
        <f>Main!T30</f>
        <v>10</v>
      </c>
      <c r="V30" s="20">
        <f>(Coordinates!H30)/Coordinates!F30*SIGN(Coordinates!B30)</f>
        <v>-55.94020998624439</v>
      </c>
      <c r="W30" s="11">
        <f>V30*Coordinates!C30/Coordinates!B30</f>
        <v>224.15562564944702</v>
      </c>
      <c r="X30" s="11">
        <f>V30*Coordinates!D30/Coordinates!B30</f>
        <v>-32.448786046625614</v>
      </c>
      <c r="Y30" s="11">
        <f>(Coordinates!H30-(Main!T35/2))/Coordinates!F30*SIGN(Coordinates!B30)</f>
        <v>-54.741309856983207</v>
      </c>
      <c r="Z30" s="11">
        <f>Y30*Coordinates!C30/Coordinates!B30</f>
        <v>219.35156415894087</v>
      </c>
      <c r="AA30" s="12">
        <f>Y30*Coordinates!D30/Coordinates!B30</f>
        <v>-31.753349726396667</v>
      </c>
    </row>
    <row r="31" spans="1:27" ht="15" customHeight="1" x14ac:dyDescent="0.45">
      <c r="A31" s="13">
        <v>29</v>
      </c>
      <c r="B31" s="11">
        <f>Main!B31+Main!C31+Main!T31</f>
        <v>236.87685018812192</v>
      </c>
      <c r="C31" s="11">
        <f>Coordinates!T31</f>
        <v>-59.436047949223919</v>
      </c>
      <c r="D31" s="11">
        <f>Coordinates!V31</f>
        <v>-7.8629657869469867</v>
      </c>
      <c r="E31" s="11">
        <f>Coordinates!Q31</f>
        <v>101.02400886395512</v>
      </c>
      <c r="F31" s="11">
        <f>-Coordinates!P31</f>
        <v>59.659674222473647</v>
      </c>
      <c r="G31" s="11">
        <f>Coordinates!R31</f>
        <v>-16.202883801512645</v>
      </c>
      <c r="H31" s="11">
        <f t="shared" si="0"/>
        <v>113.43842509406096</v>
      </c>
      <c r="I31" s="11">
        <f t="shared" si="1"/>
        <v>81.904761547300154</v>
      </c>
      <c r="J31" s="11">
        <f>Main!C31</f>
        <v>50.067327093521619</v>
      </c>
      <c r="K31" s="11">
        <f t="shared" si="2"/>
        <v>53.067327093521619</v>
      </c>
      <c r="L31" s="11">
        <f>Main!R31</f>
        <v>5.4337802337025858</v>
      </c>
      <c r="M31" s="11">
        <f t="shared" si="3"/>
        <v>11.433780233702585</v>
      </c>
      <c r="N31" s="11">
        <f t="shared" si="4"/>
        <v>-25.03366354676081</v>
      </c>
      <c r="O31" s="11">
        <f>Main!D31</f>
        <v>2.2999999999999998</v>
      </c>
      <c r="P31" s="11">
        <f>O31+(2*Main!U31)</f>
        <v>6.3</v>
      </c>
      <c r="Q31" s="11">
        <f>Main!S31</f>
        <v>50</v>
      </c>
      <c r="R31" s="11">
        <f>Q31+(2*Main!U31)</f>
        <v>54</v>
      </c>
      <c r="S31" s="11">
        <v>25</v>
      </c>
      <c r="T31" s="11">
        <v>2</v>
      </c>
      <c r="U31" s="12">
        <f>Main!T31</f>
        <v>10</v>
      </c>
      <c r="V31" s="20">
        <f>(Coordinates!H31)/Coordinates!F31*SIGN(Coordinates!B31)</f>
        <v>-119.31934844494729</v>
      </c>
      <c r="W31" s="11">
        <f>V31*Coordinates!C31/Coordinates!B31</f>
        <v>202.04801772791023</v>
      </c>
      <c r="X31" s="11">
        <f>V31*Coordinates!D31/Coordinates!B31</f>
        <v>-32.405767603025289</v>
      </c>
      <c r="Y31" s="11">
        <f>(Coordinates!H31-(Main!T36/2))/Coordinates!F31*SIGN(Coordinates!B31)</f>
        <v>-116.80075390204058</v>
      </c>
      <c r="Z31" s="11">
        <f>Y31*Coordinates!C31/Coordinates!B31</f>
        <v>197.78318523019152</v>
      </c>
      <c r="AA31" s="12">
        <f>Y31*Coordinates!D31/Coordinates!B31</f>
        <v>-31.721746189001728</v>
      </c>
    </row>
    <row r="32" spans="1:27" ht="15" customHeight="1" x14ac:dyDescent="0.45">
      <c r="A32" s="13">
        <v>30</v>
      </c>
      <c r="B32" s="11">
        <f>Main!B32+Main!C32+Main!T32</f>
        <v>247.8626812783462</v>
      </c>
      <c r="C32" s="11">
        <f>Coordinates!T32</f>
        <v>-43.805719183485337</v>
      </c>
      <c r="D32" s="11">
        <f>Coordinates!V32</f>
        <v>-7.483298161980187</v>
      </c>
      <c r="E32" s="11">
        <f>Coordinates!Q32</f>
        <v>85.056499097363897</v>
      </c>
      <c r="F32" s="11">
        <f>-Coordinates!P32</f>
        <v>88.678376409170042</v>
      </c>
      <c r="G32" s="11">
        <f>Coordinates!R32</f>
        <v>-16.14046812693012</v>
      </c>
      <c r="H32" s="11">
        <f t="shared" si="0"/>
        <v>118.9313406391731</v>
      </c>
      <c r="I32" s="11">
        <f t="shared" si="1"/>
        <v>85.989718703540234</v>
      </c>
      <c r="J32" s="11">
        <f>Main!C32</f>
        <v>52.883243871265748</v>
      </c>
      <c r="K32" s="11">
        <f t="shared" si="2"/>
        <v>55.883243871265748</v>
      </c>
      <c r="L32" s="11">
        <f>Main!R32</f>
        <v>5.2669133077755852</v>
      </c>
      <c r="M32" s="11">
        <f t="shared" si="3"/>
        <v>11.266913307775585</v>
      </c>
      <c r="N32" s="11">
        <f t="shared" si="4"/>
        <v>-26.441621935632874</v>
      </c>
      <c r="O32" s="11">
        <f>Main!D32</f>
        <v>2.2999999999999998</v>
      </c>
      <c r="P32" s="11">
        <f>O32+(2*Main!U32)</f>
        <v>6.3</v>
      </c>
      <c r="Q32" s="11">
        <f>Main!S32</f>
        <v>50</v>
      </c>
      <c r="R32" s="11">
        <f>Q32+(2*Main!U32)</f>
        <v>54</v>
      </c>
      <c r="S32" s="11">
        <v>25</v>
      </c>
      <c r="T32" s="11">
        <v>2</v>
      </c>
      <c r="U32" s="12">
        <f>Main!T32</f>
        <v>10</v>
      </c>
      <c r="V32" s="20">
        <f>(Coordinates!H32)/Coordinates!F32*SIGN(Coordinates!B32)</f>
        <v>-177.35675281834008</v>
      </c>
      <c r="W32" s="11">
        <f>V32*Coordinates!C32/Coordinates!B32</f>
        <v>170.11299819472779</v>
      </c>
      <c r="X32" s="11">
        <f>V32*Coordinates!D32/Coordinates!B32</f>
        <v>-32.28093625386024</v>
      </c>
      <c r="Y32" s="11">
        <f>(Coordinates!H32-(Main!T37/2))/Coordinates!F32*SIGN(Coordinates!B32)</f>
        <v>-173.77903083325489</v>
      </c>
      <c r="Z32" s="11">
        <f>Y32*Coordinates!C32/Coordinates!B32</f>
        <v>166.68140055934813</v>
      </c>
      <c r="AA32" s="12">
        <f>Y32*Coordinates!D32/Coordinates!B32</f>
        <v>-31.629750361587707</v>
      </c>
    </row>
    <row r="33" spans="1:27" ht="15" customHeight="1" x14ac:dyDescent="0.45">
      <c r="A33" s="13">
        <v>31</v>
      </c>
      <c r="B33" s="11">
        <f>Main!B33+Main!C33+Main!T33</f>
        <v>263.87872268955954</v>
      </c>
      <c r="C33" s="11">
        <f>Coordinates!T33</f>
        <v>-29.272683834126891</v>
      </c>
      <c r="D33" s="11">
        <f>Coordinates!V33</f>
        <v>-6.9909046282808163</v>
      </c>
      <c r="E33" s="11">
        <f>Coordinates!Q33</f>
        <v>64.034315131431896</v>
      </c>
      <c r="F33" s="11">
        <f>-Coordinates!P33</f>
        <v>114.23538741592795</v>
      </c>
      <c r="G33" s="11">
        <f>Coordinates!R33</f>
        <v>-16.058574645642956</v>
      </c>
      <c r="H33" s="11">
        <f t="shared" si="0"/>
        <v>126.93936134477977</v>
      </c>
      <c r="I33" s="11">
        <f t="shared" si="1"/>
        <v>91.961298546736629</v>
      </c>
      <c r="J33" s="11">
        <f>Main!C33</f>
        <v>56.956125596086267</v>
      </c>
      <c r="K33" s="11">
        <f t="shared" si="2"/>
        <v>59.956125596086267</v>
      </c>
      <c r="L33" s="11">
        <f>Main!R33</f>
        <v>5.0547519842322517</v>
      </c>
      <c r="M33" s="11">
        <f t="shared" si="3"/>
        <v>11.054751984232251</v>
      </c>
      <c r="N33" s="11">
        <f t="shared" si="4"/>
        <v>-28.478062798043133</v>
      </c>
      <c r="O33" s="11">
        <f>Main!D33</f>
        <v>2.2999999999999998</v>
      </c>
      <c r="P33" s="11">
        <f>O33+(2*Main!U33)</f>
        <v>6.3</v>
      </c>
      <c r="Q33" s="11">
        <f>Main!S33</f>
        <v>50</v>
      </c>
      <c r="R33" s="11">
        <f>Q33+(2*Main!U33)</f>
        <v>54</v>
      </c>
      <c r="S33" s="11">
        <v>25</v>
      </c>
      <c r="T33" s="11">
        <v>2</v>
      </c>
      <c r="U33" s="12">
        <f>Main!T33</f>
        <v>10</v>
      </c>
      <c r="V33" s="20">
        <f>(Coordinates!H33)/Coordinates!F33*SIGN(Coordinates!B33)</f>
        <v>-228.47077483185589</v>
      </c>
      <c r="W33" s="11">
        <f>V33*Coordinates!C33/Coordinates!B33</f>
        <v>128.06863026286379</v>
      </c>
      <c r="X33" s="11">
        <f>V33*Coordinates!D33/Coordinates!B33</f>
        <v>-32.117149291285912</v>
      </c>
      <c r="Y33" s="11">
        <f>(Coordinates!H33-(Main!T38/2))/Coordinates!F33*SIGN(Coordinates!B33)</f>
        <v>-224.14168811157793</v>
      </c>
      <c r="Z33" s="11">
        <f>Y33*Coordinates!C33/Coordinates!B33</f>
        <v>125.64197325623709</v>
      </c>
      <c r="AA33" s="12">
        <f>Y33*Coordinates!D33/Coordinates!B33</f>
        <v>-31.508590386575158</v>
      </c>
    </row>
    <row r="34" spans="1:27" ht="14.25" customHeight="1" x14ac:dyDescent="0.45">
      <c r="A34" s="13">
        <v>32</v>
      </c>
      <c r="B34" s="11">
        <f>Main!B34+Main!C34+Main!T34</f>
        <v>282.06609601575718</v>
      </c>
      <c r="C34" s="11">
        <f>Coordinates!T34</f>
        <v>-15.80723941078455</v>
      </c>
      <c r="D34" s="11">
        <f>Coordinates!V34</f>
        <v>-6.5045478930677234</v>
      </c>
      <c r="E34" s="11">
        <f>Coordinates!Q34</f>
        <v>38.170359740871</v>
      </c>
      <c r="F34" s="11">
        <f>-Coordinates!P34</f>
        <v>134.82616651218908</v>
      </c>
      <c r="G34" s="11">
        <f>Coordinates!R34</f>
        <v>-15.9765168692223</v>
      </c>
      <c r="H34" s="11">
        <f t="shared" si="0"/>
        <v>136.03304800787859</v>
      </c>
      <c r="I34" s="11">
        <f t="shared" si="1"/>
        <v>98.761574626923561</v>
      </c>
      <c r="J34" s="11">
        <f>Main!C34</f>
        <v>61.542946761910066</v>
      </c>
      <c r="K34" s="11">
        <f t="shared" si="2"/>
        <v>64.542946761910059</v>
      </c>
      <c r="L34" s="11">
        <f>Main!R34</f>
        <v>4.8494391844283271</v>
      </c>
      <c r="M34" s="11">
        <f t="shared" si="3"/>
        <v>10.849439184428327</v>
      </c>
      <c r="N34" s="11">
        <f t="shared" si="4"/>
        <v>-30.771473380955033</v>
      </c>
      <c r="O34" s="11">
        <f>Main!D34</f>
        <v>2.2999999999999998</v>
      </c>
      <c r="P34" s="11">
        <f>O34+(2*Main!U34)</f>
        <v>6.3</v>
      </c>
      <c r="Q34" s="11">
        <f>Main!S34</f>
        <v>50</v>
      </c>
      <c r="R34" s="11">
        <f>Q34+(2*Main!U34)</f>
        <v>54</v>
      </c>
      <c r="S34" s="11">
        <v>25</v>
      </c>
      <c r="T34" s="11">
        <v>2</v>
      </c>
      <c r="U34" s="12">
        <f>Main!T34</f>
        <v>10</v>
      </c>
      <c r="V34" s="20">
        <f>(Coordinates!H34)/Coordinates!F34*SIGN(Coordinates!B34)</f>
        <v>-269.65233302437815</v>
      </c>
      <c r="W34" s="11">
        <f>V34*Coordinates!C34/Coordinates!B34</f>
        <v>76.340719481741999</v>
      </c>
      <c r="X34" s="11">
        <f>V34*Coordinates!D34/Coordinates!B34</f>
        <v>-31.953033738444599</v>
      </c>
      <c r="Y34" s="11">
        <f>(Coordinates!H34-(Main!T39/2))/Coordinates!F34*SIGN(Coordinates!B34)</f>
        <v>-264.87238362894789</v>
      </c>
      <c r="Z34" s="11">
        <f>Y34*Coordinates!C34/Coordinates!B34</f>
        <v>74.987477802574048</v>
      </c>
      <c r="AA34" s="12">
        <f>Y34*Coordinates!D34/Coordinates!B34</f>
        <v>-31.3866233440408</v>
      </c>
    </row>
    <row r="35" spans="1:27" ht="15" customHeight="1" x14ac:dyDescent="0.45">
      <c r="A35" s="13">
        <v>33</v>
      </c>
      <c r="B35" s="11">
        <f>Main!B35+Main!C35+Main!T35</f>
        <v>299.46970704855914</v>
      </c>
      <c r="C35" s="11">
        <f>Coordinates!T35</f>
        <v>-3.239493319287543</v>
      </c>
      <c r="D35" s="11">
        <f>Coordinates!V35</f>
        <v>-6.0983533701058548</v>
      </c>
      <c r="E35" s="11">
        <f>Coordinates!Q35</f>
        <v>8.4135889636216383</v>
      </c>
      <c r="F35" s="11">
        <f>-Coordinates!P35</f>
        <v>148.64958883276023</v>
      </c>
      <c r="G35" s="11">
        <f>Coordinates!R35</f>
        <v>-15.907156268170946</v>
      </c>
      <c r="H35" s="11">
        <f t="shared" ref="H35:H66" si="5">(B35/2-5)</f>
        <v>144.73485352427957</v>
      </c>
      <c r="I35" s="11">
        <f t="shared" ref="I35:I66" si="6">(H35-5)-(K35/2)</f>
        <v>105.28420179619982</v>
      </c>
      <c r="J35" s="11">
        <f>Main!C35</f>
        <v>65.901303456159482</v>
      </c>
      <c r="K35" s="11">
        <f t="shared" ref="K35:K66" si="7">J35+3</f>
        <v>68.901303456159482</v>
      </c>
      <c r="L35" s="11">
        <f>Main!R35</f>
        <v>4.680833030174842</v>
      </c>
      <c r="M35" s="11">
        <f t="shared" ref="M35:M66" si="8">L35+6</f>
        <v>10.680833030174842</v>
      </c>
      <c r="N35" s="11">
        <f t="shared" ref="N35:N66" si="9">-(J35/2)</f>
        <v>-32.950651728079741</v>
      </c>
      <c r="O35" s="11">
        <f>Main!D35</f>
        <v>2.2999999999999998</v>
      </c>
      <c r="P35" s="11">
        <f>O35+(2*Main!U35)</f>
        <v>6.3</v>
      </c>
      <c r="Q35" s="11">
        <f>Main!S35</f>
        <v>50</v>
      </c>
      <c r="R35" s="11">
        <f>Q35+(2*Main!U35)</f>
        <v>54</v>
      </c>
      <c r="S35" s="11">
        <v>25</v>
      </c>
      <c r="T35" s="11">
        <v>2</v>
      </c>
      <c r="U35" s="12">
        <f>Main!T35</f>
        <v>10</v>
      </c>
      <c r="V35" s="20">
        <f>(Coordinates!H35)/Coordinates!F35*SIGN(Coordinates!B35)</f>
        <v>-297.29917766552046</v>
      </c>
      <c r="W35" s="11">
        <f>V35*Coordinates!C35/Coordinates!B35</f>
        <v>16.827177927243277</v>
      </c>
      <c r="X35" s="11">
        <f>V35*Coordinates!D35/Coordinates!B35</f>
        <v>-31.814312536341891</v>
      </c>
      <c r="Y35" s="11">
        <f>(Coordinates!H35-(Main!T40/2))/Coordinates!F35*SIGN(Coordinates!B35)</f>
        <v>-292.33541721382784</v>
      </c>
      <c r="Z35" s="11">
        <f>Y35*Coordinates!C35/Coordinates!B35</f>
        <v>16.546228343175418</v>
      </c>
      <c r="AA35" s="12">
        <f>Y35*Coordinates!D35/Coordinates!B35</f>
        <v>-31.283135061833871</v>
      </c>
    </row>
    <row r="36" spans="1:27" ht="15" customHeight="1" x14ac:dyDescent="0.45">
      <c r="A36" s="13">
        <v>34</v>
      </c>
      <c r="B36" s="11">
        <f>Main!B36+Main!C36+Main!T36</f>
        <v>313.73866445023702</v>
      </c>
      <c r="C36" s="11">
        <f>Coordinates!T36</f>
        <v>8.6638982069119823</v>
      </c>
      <c r="D36" s="11">
        <f>Coordinates!V36</f>
        <v>-5.8011975570406662</v>
      </c>
      <c r="E36" s="11">
        <f>Coordinates!Q36</f>
        <v>-23.509452654376268</v>
      </c>
      <c r="F36" s="11">
        <f>-Coordinates!P36</f>
        <v>154.28507249785233</v>
      </c>
      <c r="G36" s="11">
        <f>Coordinates!R36</f>
        <v>-15.855895842830973</v>
      </c>
      <c r="H36" s="11">
        <f t="shared" si="5"/>
        <v>151.86933222511851</v>
      </c>
      <c r="I36" s="11">
        <f t="shared" si="6"/>
        <v>110.64128124680258</v>
      </c>
      <c r="J36" s="11">
        <f>Main!C36</f>
        <v>69.456101956631855</v>
      </c>
      <c r="K36" s="11">
        <f t="shared" si="7"/>
        <v>72.456101956631855</v>
      </c>
      <c r="L36" s="11">
        <f>Main!R36</f>
        <v>4.5589807890164611</v>
      </c>
      <c r="M36" s="11">
        <f t="shared" si="8"/>
        <v>10.558980789016461</v>
      </c>
      <c r="N36" s="11">
        <f t="shared" si="9"/>
        <v>-34.728050978315927</v>
      </c>
      <c r="O36" s="11">
        <f>Main!D36</f>
        <v>2.2999999999999998</v>
      </c>
      <c r="P36" s="11">
        <f>O36+(2*Main!U36)</f>
        <v>6.3</v>
      </c>
      <c r="Q36" s="11">
        <f>Main!S36</f>
        <v>50</v>
      </c>
      <c r="R36" s="11">
        <f>Q36+(2*Main!U36)</f>
        <v>54</v>
      </c>
      <c r="S36" s="11">
        <v>25</v>
      </c>
      <c r="T36" s="11">
        <v>2</v>
      </c>
      <c r="U36" s="12">
        <f>Main!T36</f>
        <v>10</v>
      </c>
      <c r="V36" s="20">
        <f>(Coordinates!H36)/Coordinates!F36*SIGN(Coordinates!B36)</f>
        <v>-308.57014499570465</v>
      </c>
      <c r="W36" s="11">
        <f>V36*Coordinates!C36/Coordinates!B36</f>
        <v>-47.018905308752537</v>
      </c>
      <c r="X36" s="11">
        <f>V36*Coordinates!D36/Coordinates!B36</f>
        <v>-31.711791685661947</v>
      </c>
      <c r="Y36" s="11">
        <f>(Coordinates!H36-(Main!T41/2))/Coordinates!F36*SIGN(Coordinates!B36)</f>
        <v>-303.65251481556078</v>
      </c>
      <c r="Z36" s="11">
        <f>Y36*Coordinates!C36/Coordinates!B36</f>
        <v>-46.269572972058505</v>
      </c>
      <c r="AA36" s="12">
        <f>Y36*Coordinates!D36/Coordinates!B36</f>
        <v>-31.20640622829044</v>
      </c>
    </row>
    <row r="37" spans="1:27" ht="15" customHeight="1" x14ac:dyDescent="0.45">
      <c r="A37" s="13">
        <v>35</v>
      </c>
      <c r="B37" s="11">
        <f>Main!B37+Main!C37+Main!T37</f>
        <v>323.7742798180609</v>
      </c>
      <c r="C37" s="11">
        <f>Coordinates!T37</f>
        <v>20.157895203759942</v>
      </c>
      <c r="D37" s="11">
        <f>Coordinates!V37</f>
        <v>-5.6089409140746653</v>
      </c>
      <c r="E37" s="11">
        <f>Coordinates!Q37</f>
        <v>-55.520571963750243</v>
      </c>
      <c r="F37" s="11">
        <f>-Coordinates!P37</f>
        <v>151.24337610164648</v>
      </c>
      <c r="G37" s="11">
        <f>Coordinates!R37</f>
        <v>-15.822558014428047</v>
      </c>
      <c r="H37" s="11">
        <f t="shared" si="5"/>
        <v>156.88713990903045</v>
      </c>
      <c r="I37" s="11">
        <f t="shared" si="6"/>
        <v>114.41331468839564</v>
      </c>
      <c r="J37" s="11">
        <f>Main!C37</f>
        <v>71.947650441269602</v>
      </c>
      <c r="K37" s="11">
        <f t="shared" si="7"/>
        <v>74.947650441269602</v>
      </c>
      <c r="L37" s="11">
        <f>Main!R37</f>
        <v>4.4807522419106158</v>
      </c>
      <c r="M37" s="11">
        <f t="shared" si="8"/>
        <v>10.480752241910615</v>
      </c>
      <c r="N37" s="11">
        <f t="shared" si="9"/>
        <v>-35.973825220634801</v>
      </c>
      <c r="O37" s="11">
        <f>Main!D37</f>
        <v>2.2999999999999998</v>
      </c>
      <c r="P37" s="11">
        <f>O37+(2*Main!U37)</f>
        <v>6.3</v>
      </c>
      <c r="Q37" s="11">
        <f>Main!S37</f>
        <v>50</v>
      </c>
      <c r="R37" s="11">
        <f>Q37+(2*Main!U37)</f>
        <v>54</v>
      </c>
      <c r="S37" s="11">
        <v>25</v>
      </c>
      <c r="T37" s="11">
        <v>2</v>
      </c>
      <c r="U37" s="12">
        <f>Main!T37</f>
        <v>10</v>
      </c>
      <c r="V37" s="20">
        <f>(Coordinates!H37)/Coordinates!F37*SIGN(Coordinates!B37)</f>
        <v>-302.48675220329295</v>
      </c>
      <c r="W37" s="11">
        <f>V37*Coordinates!C37/Coordinates!B37</f>
        <v>-111.04114392750049</v>
      </c>
      <c r="X37" s="11">
        <f>V37*Coordinates!D37/Coordinates!B37</f>
        <v>-31.645116028856094</v>
      </c>
      <c r="Y37" s="11">
        <f>(Coordinates!H37-(Main!T42/2))/Coordinates!F37*SIGN(Coordinates!B37)</f>
        <v>-297.81549245447547</v>
      </c>
      <c r="Z37" s="11">
        <f>Y37*Coordinates!C37/Coordinates!B37</f>
        <v>-109.32635138761903</v>
      </c>
      <c r="AA37" s="12">
        <f>Y37*Coordinates!D37/Coordinates!B37</f>
        <v>-31.156425017843137</v>
      </c>
    </row>
    <row r="38" spans="1:27" ht="15" customHeight="1" x14ac:dyDescent="0.45">
      <c r="A38" s="13">
        <v>36</v>
      </c>
      <c r="B38" s="11">
        <f>Main!B38+Main!C38+Main!T38</f>
        <v>329.79842006143929</v>
      </c>
      <c r="C38" s="11">
        <f>Coordinates!T38</f>
        <v>31.43690893995597</v>
      </c>
      <c r="D38" s="11">
        <f>Coordinates!V38</f>
        <v>-5.4995118090659219</v>
      </c>
      <c r="E38" s="11">
        <f>Coordinates!Q38</f>
        <v>-85.60884900050786</v>
      </c>
      <c r="F38" s="11">
        <f>-Coordinates!P38</f>
        <v>140.04686406873597</v>
      </c>
      <c r="G38" s="11">
        <f>Coordinates!R38</f>
        <v>-15.803490313111837</v>
      </c>
      <c r="H38" s="11">
        <f t="shared" si="5"/>
        <v>159.89921003071964</v>
      </c>
      <c r="I38" s="11">
        <f t="shared" si="6"/>
        <v>116.67911238120895</v>
      </c>
      <c r="J38" s="11">
        <f>Main!C38</f>
        <v>73.440195299021383</v>
      </c>
      <c r="K38" s="11">
        <f t="shared" si="7"/>
        <v>76.440195299021383</v>
      </c>
      <c r="L38" s="11">
        <f>Main!R38</f>
        <v>4.4364322270816556</v>
      </c>
      <c r="M38" s="11">
        <f t="shared" si="8"/>
        <v>10.436432227081657</v>
      </c>
      <c r="N38" s="11">
        <f t="shared" si="9"/>
        <v>-36.720097649510691</v>
      </c>
      <c r="O38" s="11">
        <f>Main!D38</f>
        <v>2.2999999999999998</v>
      </c>
      <c r="P38" s="11">
        <f>O38+(2*Main!U38)</f>
        <v>6.3</v>
      </c>
      <c r="Q38" s="11">
        <f>Main!S38</f>
        <v>50</v>
      </c>
      <c r="R38" s="11">
        <f>Q38+(2*Main!U38)</f>
        <v>54</v>
      </c>
      <c r="S38" s="11">
        <v>25</v>
      </c>
      <c r="T38" s="11">
        <v>2</v>
      </c>
      <c r="U38" s="12">
        <f>Main!T38</f>
        <v>10</v>
      </c>
      <c r="V38" s="20">
        <f>(Coordinates!H38)/Coordinates!F38*SIGN(Coordinates!B38)</f>
        <v>-280.09372813747194</v>
      </c>
      <c r="W38" s="11">
        <f>V38*Coordinates!C38/Coordinates!B38</f>
        <v>-171.21769800101572</v>
      </c>
      <c r="X38" s="11">
        <f>V38*Coordinates!D38/Coordinates!B38</f>
        <v>-31.606980626223674</v>
      </c>
      <c r="Y38" s="11">
        <f>(Coordinates!H38-(Main!T43/2))/Coordinates!F38*SIGN(Coordinates!B38)</f>
        <v>-275.84728984214456</v>
      </c>
      <c r="Z38" s="11">
        <f>Y38*Coordinates!C38/Coordinates!B38</f>
        <v>-168.62190481969731</v>
      </c>
      <c r="AA38" s="12">
        <f>Y38*Coordinates!D38/Coordinates!B38</f>
        <v>-31.127794270201477</v>
      </c>
    </row>
    <row r="39" spans="1:27" ht="15" customHeight="1" x14ac:dyDescent="0.45">
      <c r="A39" s="13">
        <v>37</v>
      </c>
      <c r="B39" s="11">
        <f>Main!B39+Main!C39+Main!T39</f>
        <v>333.009508235873</v>
      </c>
      <c r="C39" s="11">
        <f>Coordinates!T39</f>
        <v>42.608069578213971</v>
      </c>
      <c r="D39" s="11">
        <f>Coordinates!V39</f>
        <v>-5.4429011203110207</v>
      </c>
      <c r="E39" s="11">
        <f>Coordinates!Q39</f>
        <v>-112.21209662644108</v>
      </c>
      <c r="F39" s="11">
        <f>-Coordinates!P39</f>
        <v>121.99524913150316</v>
      </c>
      <c r="G39" s="11">
        <f>Coordinates!R39</f>
        <v>-15.793596927717799</v>
      </c>
      <c r="H39" s="11">
        <f t="shared" si="5"/>
        <v>161.5047541179365</v>
      </c>
      <c r="I39" s="11">
        <f t="shared" si="6"/>
        <v>117.88730714269042</v>
      </c>
      <c r="J39" s="11">
        <f>Main!C39</f>
        <v>74.23489395049215</v>
      </c>
      <c r="K39" s="11">
        <f t="shared" si="7"/>
        <v>77.23489395049215</v>
      </c>
      <c r="L39" s="11">
        <f>Main!R39</f>
        <v>4.413561313964264</v>
      </c>
      <c r="M39" s="11">
        <f t="shared" si="8"/>
        <v>10.413561313964264</v>
      </c>
      <c r="N39" s="11">
        <f t="shared" si="9"/>
        <v>-37.117446975246075</v>
      </c>
      <c r="O39" s="11">
        <f>Main!D39</f>
        <v>2.2999999999999998</v>
      </c>
      <c r="P39" s="11">
        <f>O39+(2*Main!U39)</f>
        <v>6.3</v>
      </c>
      <c r="Q39" s="11">
        <f>Main!S39</f>
        <v>50</v>
      </c>
      <c r="R39" s="11">
        <f>Q39+(2*Main!U39)</f>
        <v>54</v>
      </c>
      <c r="S39" s="11">
        <v>25</v>
      </c>
      <c r="T39" s="11">
        <v>2</v>
      </c>
      <c r="U39" s="12">
        <f>Main!T39</f>
        <v>10</v>
      </c>
      <c r="V39" s="20">
        <f>(Coordinates!H39)/Coordinates!F39*SIGN(Coordinates!B39)</f>
        <v>-243.99049826300632</v>
      </c>
      <c r="W39" s="11">
        <f>V39*Coordinates!C39/Coordinates!B39</f>
        <v>-224.42419325288216</v>
      </c>
      <c r="X39" s="11">
        <f>V39*Coordinates!D39/Coordinates!B39</f>
        <v>-31.587193855435597</v>
      </c>
      <c r="Y39" s="11">
        <f>(Coordinates!H39-(Main!T44/2))/Coordinates!F39*SIGN(Coordinates!B39)</f>
        <v>-240.32708187055024</v>
      </c>
      <c r="Z39" s="11">
        <f>Y39*Coordinates!C39/Coordinates!B39</f>
        <v>-221.05455683556519</v>
      </c>
      <c r="AA39" s="12">
        <f>Y39*Coordinates!D39/Coordinates!B39</f>
        <v>-31.112925207330477</v>
      </c>
    </row>
    <row r="40" spans="1:27" ht="15" customHeight="1" x14ac:dyDescent="0.45">
      <c r="A40" s="13">
        <v>38</v>
      </c>
      <c r="B40" s="11">
        <f>Main!B40+Main!C40+Main!T40</f>
        <v>335.01213789060154</v>
      </c>
      <c r="C40" s="11">
        <f>Coordinates!T40</f>
        <v>53.710732447177577</v>
      </c>
      <c r="D40" s="11">
        <f>Coordinates!V40</f>
        <v>-5.4081839422492806</v>
      </c>
      <c r="E40" s="11">
        <f>Coordinates!Q40</f>
        <v>-134.41542736762057</v>
      </c>
      <c r="F40" s="11">
        <f>-Coordinates!P40</f>
        <v>98.699188505146452</v>
      </c>
      <c r="G40" s="11">
        <f>Coordinates!R40</f>
        <v>-15.787533294132491</v>
      </c>
      <c r="H40" s="11">
        <f t="shared" si="5"/>
        <v>162.50606894530077</v>
      </c>
      <c r="I40" s="11">
        <f t="shared" si="6"/>
        <v>118.64096052715914</v>
      </c>
      <c r="J40" s="11">
        <f>Main!C40</f>
        <v>74.730216836283262</v>
      </c>
      <c r="K40" s="11">
        <f t="shared" si="7"/>
        <v>77.730216836283262</v>
      </c>
      <c r="L40" s="11">
        <f>Main!R40</f>
        <v>4.3995523182239902</v>
      </c>
      <c r="M40" s="11">
        <f t="shared" si="8"/>
        <v>10.399552318223989</v>
      </c>
      <c r="N40" s="11">
        <f t="shared" si="9"/>
        <v>-37.365108418141631</v>
      </c>
      <c r="O40" s="11">
        <f>Main!D40</f>
        <v>2.2999999999999998</v>
      </c>
      <c r="P40" s="11">
        <f>O40+(2*Main!U40)</f>
        <v>6.3</v>
      </c>
      <c r="Q40" s="11">
        <f>Main!S40</f>
        <v>50</v>
      </c>
      <c r="R40" s="11">
        <f>Q40+(2*Main!U40)</f>
        <v>54</v>
      </c>
      <c r="S40" s="11">
        <v>25</v>
      </c>
      <c r="T40" s="11">
        <v>2</v>
      </c>
      <c r="U40" s="12">
        <f>Main!T40</f>
        <v>10</v>
      </c>
      <c r="V40" s="20">
        <f>(Coordinates!H40)/Coordinates!F40*SIGN(Coordinates!B40)</f>
        <v>-197.3983770102929</v>
      </c>
      <c r="W40" s="11">
        <f>V40*Coordinates!C40/Coordinates!B40</f>
        <v>-268.83085473524113</v>
      </c>
      <c r="X40" s="11">
        <f>V40*Coordinates!D40/Coordinates!B40</f>
        <v>-31.575066588264981</v>
      </c>
      <c r="Y40" s="11">
        <f>(Coordinates!H40-(Main!T45/2))/Coordinates!F40*SIGN(Coordinates!B40)</f>
        <v>-194.45223932326448</v>
      </c>
      <c r="Z40" s="11">
        <f>Y40*Coordinates!C40/Coordinates!B40</f>
        <v>-264.8185992923797</v>
      </c>
      <c r="AA40" s="12">
        <f>Y40*Coordinates!D40/Coordinates!B40</f>
        <v>-31.10381401235718</v>
      </c>
    </row>
    <row r="41" spans="1:27" ht="15" customHeight="1" x14ac:dyDescent="0.45">
      <c r="A41" s="13">
        <v>39</v>
      </c>
      <c r="B41" s="11">
        <f>Main!B41+Main!C41+Main!T41</f>
        <v>337.32208177492294</v>
      </c>
      <c r="C41" s="11">
        <f>Coordinates!T41</f>
        <v>64.726671254963591</v>
      </c>
      <c r="D41" s="11">
        <f>Coordinates!V41</f>
        <v>-5.3686806000487906</v>
      </c>
      <c r="E41" s="11">
        <f>Coordinates!Q41</f>
        <v>-151.84798712892805</v>
      </c>
      <c r="F41" s="11">
        <f>-Coordinates!P41</f>
        <v>71.691754097375991</v>
      </c>
      <c r="G41" s="11">
        <f>Coordinates!R41</f>
        <v>-15.780618257097183</v>
      </c>
      <c r="H41" s="11">
        <f t="shared" si="5"/>
        <v>163.66104088746147</v>
      </c>
      <c r="I41" s="11">
        <f t="shared" si="6"/>
        <v>119.51040546816957</v>
      </c>
      <c r="J41" s="11">
        <f>Main!C41</f>
        <v>75.301270838583804</v>
      </c>
      <c r="K41" s="11">
        <f t="shared" si="7"/>
        <v>78.301270838583804</v>
      </c>
      <c r="L41" s="11">
        <f>Main!R41</f>
        <v>4.3836301732055976</v>
      </c>
      <c r="M41" s="11">
        <f t="shared" si="8"/>
        <v>10.383630173205598</v>
      </c>
      <c r="N41" s="11">
        <f t="shared" si="9"/>
        <v>-37.650635419291902</v>
      </c>
      <c r="O41" s="11">
        <f>Main!D41</f>
        <v>2.2999999999999998</v>
      </c>
      <c r="P41" s="11">
        <f>O41+(2*Main!U41)</f>
        <v>6.3</v>
      </c>
      <c r="Q41" s="11">
        <f>Main!S41</f>
        <v>50</v>
      </c>
      <c r="R41" s="11">
        <f>Q41+(2*Main!U41)</f>
        <v>54</v>
      </c>
      <c r="S41" s="11">
        <v>25</v>
      </c>
      <c r="T41" s="11">
        <v>2</v>
      </c>
      <c r="U41" s="12">
        <f>Main!T41</f>
        <v>10</v>
      </c>
      <c r="V41" s="20">
        <f>(Coordinates!H41)/Coordinates!F41*SIGN(Coordinates!B41)</f>
        <v>-143.38350819475198</v>
      </c>
      <c r="W41" s="11">
        <f>V41*Coordinates!C41/Coordinates!B41</f>
        <v>-303.69597425785611</v>
      </c>
      <c r="X41" s="11">
        <f>V41*Coordinates!D41/Coordinates!B41</f>
        <v>-31.561236514194366</v>
      </c>
      <c r="Y41" s="11">
        <f>(Coordinates!H41-(Main!T46/2))/Coordinates!F41*SIGN(Coordinates!B41)</f>
        <v>-141.25818767852167</v>
      </c>
      <c r="Z41" s="11">
        <f>Y41*Coordinates!C41/Coordinates!B41</f>
        <v>-299.19440156715245</v>
      </c>
      <c r="AA41" s="12">
        <f>Y41*Coordinates!D41/Coordinates!B41</f>
        <v>-31.093416021267764</v>
      </c>
    </row>
    <row r="42" spans="1:27" ht="15" customHeight="1" x14ac:dyDescent="0.45">
      <c r="A42" s="13">
        <v>40</v>
      </c>
      <c r="B42" s="11">
        <f>Main!B42+Main!C42+Main!T42</f>
        <v>341.07838082006691</v>
      </c>
      <c r="C42" s="11">
        <f>Coordinates!T42</f>
        <v>75.600013566373519</v>
      </c>
      <c r="D42" s="11">
        <f>Coordinates!V42</f>
        <v>-5.3056531718539901</v>
      </c>
      <c r="E42" s="11">
        <f>Coordinates!Q42</f>
        <v>-164.47369161032904</v>
      </c>
      <c r="F42" s="11">
        <f>-Coordinates!P42</f>
        <v>42.229624923061671</v>
      </c>
      <c r="G42" s="11">
        <f>Coordinates!R42</f>
        <v>-15.769559684327238</v>
      </c>
      <c r="H42" s="11">
        <f t="shared" si="5"/>
        <v>165.53919041003346</v>
      </c>
      <c r="I42" s="11">
        <f t="shared" si="6"/>
        <v>120.92455800845457</v>
      </c>
      <c r="J42" s="11">
        <f>Main!C42</f>
        <v>76.22926480315779</v>
      </c>
      <c r="K42" s="11">
        <f t="shared" si="7"/>
        <v>79.22926480315779</v>
      </c>
      <c r="L42" s="11">
        <f>Main!R42</f>
        <v>4.3582646363591904</v>
      </c>
      <c r="M42" s="11">
        <f t="shared" si="8"/>
        <v>10.358264636359191</v>
      </c>
      <c r="N42" s="11">
        <f t="shared" si="9"/>
        <v>-38.114632401578895</v>
      </c>
      <c r="O42" s="11">
        <f>Main!D42</f>
        <v>2.2999999999999998</v>
      </c>
      <c r="P42" s="11">
        <f>O42+(2*Main!U42)</f>
        <v>6.3</v>
      </c>
      <c r="Q42" s="11">
        <f>Main!S42</f>
        <v>50</v>
      </c>
      <c r="R42" s="11">
        <f>Q42+(2*Main!U42)</f>
        <v>54</v>
      </c>
      <c r="S42" s="11">
        <v>25</v>
      </c>
      <c r="T42" s="11">
        <v>2</v>
      </c>
      <c r="U42" s="12">
        <f>Main!T42</f>
        <v>10</v>
      </c>
      <c r="V42" s="20">
        <f>(Coordinates!H42)/Coordinates!F42*SIGN(Coordinates!B42)</f>
        <v>-84.459249846123342</v>
      </c>
      <c r="W42" s="11">
        <f>V42*Coordinates!C42/Coordinates!B42</f>
        <v>-328.94738322065808</v>
      </c>
      <c r="X42" s="11">
        <f>V42*Coordinates!D42/Coordinates!B42</f>
        <v>-31.539119368654475</v>
      </c>
      <c r="Y42" s="11">
        <f>(Coordinates!H42-(Main!T47/2))/Coordinates!F42*SIGN(Coordinates!B42)</f>
        <v>-83.221129012386314</v>
      </c>
      <c r="Z42" s="11">
        <f>Y42*Coordinates!C42/Coordinates!B42</f>
        <v>-324.12521620981209</v>
      </c>
      <c r="AA42" s="12">
        <f>Y42*Coordinates!D42/Coordinates!B42</f>
        <v>-31.076775210504906</v>
      </c>
    </row>
    <row r="43" spans="1:27" ht="15" customHeight="1" x14ac:dyDescent="0.45">
      <c r="A43" s="13">
        <v>41</v>
      </c>
      <c r="B43" s="11">
        <f>Main!B43+Main!C43+Main!T43</f>
        <v>383.3976787420288</v>
      </c>
      <c r="C43" s="11">
        <f>Coordinates!T43</f>
        <v>194.25421527179265</v>
      </c>
      <c r="D43" s="11">
        <f>Coordinates!V43</f>
        <v>4.6857380217625604</v>
      </c>
      <c r="E43" s="11">
        <f>Coordinates!Q43</f>
        <v>47.043212511309875</v>
      </c>
      <c r="F43" s="11">
        <f>-Coordinates!P43</f>
        <v>-185.17598882807604</v>
      </c>
      <c r="G43" s="11">
        <f>Coordinates!R43</f>
        <v>15.659959589793919</v>
      </c>
      <c r="H43" s="11">
        <f t="shared" si="5"/>
        <v>186.6988393710144</v>
      </c>
      <c r="I43" s="11">
        <f t="shared" si="6"/>
        <v>136.87971742316586</v>
      </c>
      <c r="J43" s="11">
        <f>Main!C43</f>
        <v>86.638243895697059</v>
      </c>
      <c r="K43" s="11">
        <f t="shared" si="7"/>
        <v>89.638243895697059</v>
      </c>
      <c r="L43" s="11">
        <f>Main!R43</f>
        <v>4.1109785349399557</v>
      </c>
      <c r="M43" s="11">
        <f t="shared" si="8"/>
        <v>10.110978534939957</v>
      </c>
      <c r="N43" s="11">
        <f t="shared" si="9"/>
        <v>-43.319121947848529</v>
      </c>
      <c r="O43" s="11">
        <f>Main!D43</f>
        <v>2.2999999999999998</v>
      </c>
      <c r="P43" s="11">
        <f>O43+(2*Main!U43)</f>
        <v>6.3</v>
      </c>
      <c r="Q43" s="11">
        <f>Main!S43</f>
        <v>50</v>
      </c>
      <c r="R43" s="11">
        <f>Q43+(2*Main!U43)</f>
        <v>54</v>
      </c>
      <c r="S43" s="11">
        <v>25</v>
      </c>
      <c r="T43" s="11">
        <v>2</v>
      </c>
      <c r="U43" s="12">
        <f>Main!T43</f>
        <v>10</v>
      </c>
      <c r="V43" s="20">
        <f>(Coordinates!H43)/Coordinates!F43*SIGN(Coordinates!B43)</f>
        <v>370.35197765615209</v>
      </c>
      <c r="W43" s="11">
        <f>V43*Coordinates!C43/Coordinates!B43</f>
        <v>94.08642502261975</v>
      </c>
      <c r="X43" s="11">
        <f>V43*Coordinates!D43/Coordinates!B43</f>
        <v>31.319919179587838</v>
      </c>
      <c r="Y43" s="11">
        <f>(Coordinates!H43-(Main!T48/2))/Coordinates!F43*SIGN(Coordinates!B43)</f>
        <v>365.52211041658876</v>
      </c>
      <c r="Z43" s="11">
        <f>Y43*Coordinates!C43/Coordinates!B43</f>
        <v>92.859416745843959</v>
      </c>
      <c r="AA43" s="12">
        <f>Y43*Coordinates!D43/Coordinates!B43</f>
        <v>30.911467056424861</v>
      </c>
    </row>
    <row r="44" spans="1:27" ht="15" customHeight="1" x14ac:dyDescent="0.45">
      <c r="A44" s="13">
        <v>42</v>
      </c>
      <c r="B44" s="11">
        <f>Main!B44+Main!C44+Main!T44</f>
        <v>356.61047956008878</v>
      </c>
      <c r="C44" s="11">
        <f>Coordinates!T44</f>
        <v>203.82696836245557</v>
      </c>
      <c r="D44" s="11">
        <f>Coordinates!V44</f>
        <v>5.0600077517283495</v>
      </c>
      <c r="E44" s="11">
        <f>Coordinates!Q44</f>
        <v>71.75030746872379</v>
      </c>
      <c r="F44" s="11">
        <f>-Coordinates!P44</f>
        <v>-162.47256317272283</v>
      </c>
      <c r="G44" s="11">
        <f>Coordinates!R44</f>
        <v>15.726351364773606</v>
      </c>
      <c r="H44" s="11">
        <f t="shared" si="5"/>
        <v>173.30523978004439</v>
      </c>
      <c r="I44" s="11">
        <f t="shared" si="6"/>
        <v>126.77582374010112</v>
      </c>
      <c r="J44" s="11">
        <f>Main!C44</f>
        <v>80.058832079886542</v>
      </c>
      <c r="K44" s="11">
        <f t="shared" si="7"/>
        <v>83.058832079886542</v>
      </c>
      <c r="L44" s="11">
        <f>Main!R44</f>
        <v>4.2598087546847747</v>
      </c>
      <c r="M44" s="11">
        <f t="shared" si="8"/>
        <v>10.259808754684775</v>
      </c>
      <c r="N44" s="11">
        <f t="shared" si="9"/>
        <v>-40.029416039943271</v>
      </c>
      <c r="O44" s="11">
        <f>Main!D44</f>
        <v>2.2999999999999998</v>
      </c>
      <c r="P44" s="11">
        <f>O44+(2*Main!U44)</f>
        <v>6.3</v>
      </c>
      <c r="Q44" s="11">
        <f>Main!S44</f>
        <v>50</v>
      </c>
      <c r="R44" s="11">
        <f>Q44+(2*Main!U44)</f>
        <v>54</v>
      </c>
      <c r="S44" s="11">
        <v>25</v>
      </c>
      <c r="T44" s="11">
        <v>2</v>
      </c>
      <c r="U44" s="12">
        <f>Main!T44</f>
        <v>10</v>
      </c>
      <c r="V44" s="20">
        <f>(Coordinates!H44)/Coordinates!F44*SIGN(Coordinates!B44)</f>
        <v>324.94512634544566</v>
      </c>
      <c r="W44" s="11">
        <f>V44*Coordinates!C44/Coordinates!B44</f>
        <v>143.50061493744758</v>
      </c>
      <c r="X44" s="11">
        <f>V44*Coordinates!D44/Coordinates!B44</f>
        <v>31.452702729547212</v>
      </c>
      <c r="Y44" s="11">
        <f>(Coordinates!H44-(Main!T49/2))/Coordinates!F44*SIGN(Coordinates!B44)</f>
        <v>320.38910310762191</v>
      </c>
      <c r="Z44" s="11">
        <f>Y44*Coordinates!C44/Coordinates!B44</f>
        <v>141.48860711431141</v>
      </c>
      <c r="AA44" s="12">
        <f>Y44*Coordinates!D44/Coordinates!B44</f>
        <v>31.011707518633234</v>
      </c>
    </row>
    <row r="45" spans="1:27" ht="15" customHeight="1" x14ac:dyDescent="0.45">
      <c r="A45" s="13">
        <v>43</v>
      </c>
      <c r="B45" s="11">
        <f>Main!B45+Main!C45+Main!T45</f>
        <v>327.45317793285608</v>
      </c>
      <c r="C45" s="11">
        <f>Coordinates!T45</f>
        <v>214.20866325954427</v>
      </c>
      <c r="D45" s="11">
        <f>Coordinates!V45</f>
        <v>5.5415905561850707</v>
      </c>
      <c r="E45" s="11">
        <f>Coordinates!Q45</f>
        <v>91.618267026463087</v>
      </c>
      <c r="F45" s="11">
        <f>-Coordinates!P45</f>
        <v>-134.76834885608301</v>
      </c>
      <c r="G45" s="11">
        <f>Coordinates!R45</f>
        <v>15.810794674983985</v>
      </c>
      <c r="H45" s="11">
        <f t="shared" si="5"/>
        <v>158.72658896642804</v>
      </c>
      <c r="I45" s="11">
        <f t="shared" si="6"/>
        <v>115.79688990603974</v>
      </c>
      <c r="J45" s="11">
        <f>Main!C45</f>
        <v>72.859398120776603</v>
      </c>
      <c r="K45" s="11">
        <f t="shared" si="7"/>
        <v>75.859398120776603</v>
      </c>
      <c r="L45" s="11">
        <f>Main!R45</f>
        <v>4.4534627521889778</v>
      </c>
      <c r="M45" s="11">
        <f t="shared" si="8"/>
        <v>10.453462752188978</v>
      </c>
      <c r="N45" s="11">
        <f t="shared" si="9"/>
        <v>-36.429699060388302</v>
      </c>
      <c r="O45" s="11">
        <f>Main!D45</f>
        <v>2.2999999999999998</v>
      </c>
      <c r="P45" s="11">
        <f>O45+(2*Main!U45)</f>
        <v>6.3</v>
      </c>
      <c r="Q45" s="11">
        <f>Main!S45</f>
        <v>50</v>
      </c>
      <c r="R45" s="11">
        <f>Q45+(2*Main!U45)</f>
        <v>54</v>
      </c>
      <c r="S45" s="11">
        <v>25</v>
      </c>
      <c r="T45" s="11">
        <v>2</v>
      </c>
      <c r="U45" s="12">
        <f>Main!T45</f>
        <v>10</v>
      </c>
      <c r="V45" s="20">
        <f>(Coordinates!H45)/Coordinates!F45*SIGN(Coordinates!B45)</f>
        <v>269.53669771216602</v>
      </c>
      <c r="W45" s="11">
        <f>V45*Coordinates!C45/Coordinates!B45</f>
        <v>183.23653405292617</v>
      </c>
      <c r="X45" s="11">
        <f>V45*Coordinates!D45/Coordinates!B45</f>
        <v>31.621589349967969</v>
      </c>
      <c r="Y45" s="11">
        <f>(Coordinates!H45-(Main!T50/2))/Coordinates!F45*SIGN(Coordinates!B45)</f>
        <v>265.42104521775906</v>
      </c>
      <c r="Z45" s="11">
        <f>Y45*Coordinates!C45/Coordinates!B45</f>
        <v>180.43862970504864</v>
      </c>
      <c r="AA45" s="12">
        <f>Y45*Coordinates!D45/Coordinates!B45</f>
        <v>31.138747962542919</v>
      </c>
    </row>
    <row r="46" spans="1:27" ht="15" customHeight="1" x14ac:dyDescent="0.45">
      <c r="A46" s="13">
        <v>44</v>
      </c>
      <c r="B46" s="11">
        <f>Main!B46+Main!C46+Main!T46</f>
        <v>298.6268645309305</v>
      </c>
      <c r="C46" s="11">
        <f>Coordinates!T46</f>
        <v>225.62677044979472</v>
      </c>
      <c r="D46" s="11">
        <f>Coordinates!V46</f>
        <v>6.1168550351912359</v>
      </c>
      <c r="E46" s="11">
        <f>Coordinates!Q46</f>
        <v>106.12152029273751</v>
      </c>
      <c r="F46" s="11">
        <f>-Coordinates!P46</f>
        <v>-103.82478240330767</v>
      </c>
      <c r="G46" s="11">
        <f>Coordinates!R46</f>
        <v>15.910328235382153</v>
      </c>
      <c r="H46" s="11">
        <f t="shared" si="5"/>
        <v>144.31343226546525</v>
      </c>
      <c r="I46" s="11">
        <f t="shared" si="6"/>
        <v>104.96801389074581</v>
      </c>
      <c r="J46" s="11">
        <f>Main!C46</f>
        <v>65.690836749438887</v>
      </c>
      <c r="K46" s="11">
        <f t="shared" si="7"/>
        <v>68.690836749438887</v>
      </c>
      <c r="L46" s="11">
        <f>Main!R46</f>
        <v>4.6884609751350164</v>
      </c>
      <c r="M46" s="11">
        <f t="shared" si="8"/>
        <v>10.688460975135015</v>
      </c>
      <c r="N46" s="11">
        <f t="shared" si="9"/>
        <v>-32.845418374719443</v>
      </c>
      <c r="O46" s="11">
        <f>Main!D46</f>
        <v>2.2999999999999998</v>
      </c>
      <c r="P46" s="11">
        <f>O46+(2*Main!U46)</f>
        <v>6.3</v>
      </c>
      <c r="Q46" s="11">
        <f>Main!S46</f>
        <v>50</v>
      </c>
      <c r="R46" s="11">
        <f>Q46+(2*Main!U46)</f>
        <v>54</v>
      </c>
      <c r="S46" s="11">
        <v>25</v>
      </c>
      <c r="T46" s="11">
        <v>2</v>
      </c>
      <c r="U46" s="12">
        <f>Main!T46</f>
        <v>10</v>
      </c>
      <c r="V46" s="20">
        <f>(Coordinates!H46)/Coordinates!F46*SIGN(Coordinates!B46)</f>
        <v>207.64956480661533</v>
      </c>
      <c r="W46" s="11">
        <f>V46*Coordinates!C46/Coordinates!B46</f>
        <v>212.24304058547503</v>
      </c>
      <c r="X46" s="11">
        <f>V46*Coordinates!D46/Coordinates!B46</f>
        <v>31.820656470764305</v>
      </c>
      <c r="Y46" s="11">
        <f>(Coordinates!H46-(Main!T51/2))/Coordinates!F46*SIGN(Coordinates!B46)</f>
        <v>204.17282527862977</v>
      </c>
      <c r="Z46" s="11">
        <f>Y46*Coordinates!C46/Coordinates!B46</f>
        <v>208.68939110188188</v>
      </c>
      <c r="AA46" s="12">
        <f>Y46*Coordinates!D46/Coordinates!B46</f>
        <v>31.287873585996948</v>
      </c>
    </row>
    <row r="47" spans="1:27" ht="15" customHeight="1" x14ac:dyDescent="0.45">
      <c r="A47" s="13">
        <v>45</v>
      </c>
      <c r="B47" s="11">
        <f>Main!B47+Main!C47+Main!T47</f>
        <v>272.75515965083736</v>
      </c>
      <c r="C47" s="11">
        <f>Coordinates!T47</f>
        <v>238.2838922870865</v>
      </c>
      <c r="D47" s="11">
        <f>Coordinates!V47</f>
        <v>6.7448059162242942</v>
      </c>
      <c r="E47" s="11">
        <f>Coordinates!Q47</f>
        <v>115.20850630568947</v>
      </c>
      <c r="F47" s="11">
        <f>-Coordinates!P47</f>
        <v>-71.198974946724505</v>
      </c>
      <c r="G47" s="11">
        <f>Coordinates!R47</f>
        <v>16.017188279659223</v>
      </c>
      <c r="H47" s="11">
        <f t="shared" si="5"/>
        <v>131.37757982541868</v>
      </c>
      <c r="I47" s="11">
        <f t="shared" si="6"/>
        <v>95.277926990617672</v>
      </c>
      <c r="J47" s="11">
        <f>Main!C47</f>
        <v>59.199305669602019</v>
      </c>
      <c r="K47" s="11">
        <f t="shared" si="7"/>
        <v>62.199305669602019</v>
      </c>
      <c r="L47" s="11">
        <f>Main!R47</f>
        <v>4.9503689228329222</v>
      </c>
      <c r="M47" s="11">
        <f t="shared" si="8"/>
        <v>10.950368922832922</v>
      </c>
      <c r="N47" s="11">
        <f t="shared" si="9"/>
        <v>-29.59965283480101</v>
      </c>
      <c r="O47" s="11">
        <f>Main!D47</f>
        <v>2.2999999999999998</v>
      </c>
      <c r="P47" s="11">
        <f>O47+(2*Main!U47)</f>
        <v>6.3</v>
      </c>
      <c r="Q47" s="11">
        <f>Main!S47</f>
        <v>50</v>
      </c>
      <c r="R47" s="11">
        <f>Q47+(2*Main!U47)</f>
        <v>54</v>
      </c>
      <c r="S47" s="11">
        <v>25</v>
      </c>
      <c r="T47" s="11">
        <v>2</v>
      </c>
      <c r="U47" s="12">
        <f>Main!T47</f>
        <v>10</v>
      </c>
      <c r="V47" s="20">
        <f>(Coordinates!H47)/Coordinates!F47*SIGN(Coordinates!B47)</f>
        <v>142.39794989344901</v>
      </c>
      <c r="W47" s="11">
        <f>V47*Coordinates!C47/Coordinates!B47</f>
        <v>230.41701261137894</v>
      </c>
      <c r="X47" s="11">
        <f>V47*Coordinates!D47/Coordinates!B47</f>
        <v>32.034376559318446</v>
      </c>
      <c r="Y47" s="11">
        <f>(Coordinates!H47-(Main!T52/2))/Coordinates!F47*SIGN(Coordinates!B47)</f>
        <v>139.78758772695988</v>
      </c>
      <c r="Z47" s="11">
        <f>Y47*Coordinates!C47/Coordinates!B47</f>
        <v>226.19313261390528</v>
      </c>
      <c r="AA47" s="12">
        <f>Y47*Coordinates!D47/Coordinates!B47</f>
        <v>31.447139701905254</v>
      </c>
    </row>
    <row r="48" spans="1:27" ht="15" customHeight="1" x14ac:dyDescent="0.45">
      <c r="A48" s="13">
        <v>46</v>
      </c>
      <c r="B48" s="11">
        <f>Main!B48+Main!C48+Main!T48</f>
        <v>252.11938324520997</v>
      </c>
      <c r="C48" s="11">
        <f>Coordinates!T48</f>
        <v>252.29800500153047</v>
      </c>
      <c r="D48" s="11">
        <f>Coordinates!V48</f>
        <v>7.345830502233639</v>
      </c>
      <c r="E48" s="11">
        <f>Coordinates!Q48</f>
        <v>119.10523055761718</v>
      </c>
      <c r="F48" s="11">
        <f>-Coordinates!P48</f>
        <v>-38.015897373005004</v>
      </c>
      <c r="G48" s="11">
        <f>Coordinates!R48</f>
        <v>16.117737208686254</v>
      </c>
      <c r="H48" s="11">
        <f t="shared" si="5"/>
        <v>121.05969162260499</v>
      </c>
      <c r="I48" s="11">
        <f t="shared" si="6"/>
        <v>87.575084245847989</v>
      </c>
      <c r="J48" s="11">
        <f>Main!C48</f>
        <v>53.969214753514009</v>
      </c>
      <c r="K48" s="11">
        <f t="shared" si="7"/>
        <v>56.969214753514009</v>
      </c>
      <c r="L48" s="11">
        <f>Main!R48</f>
        <v>5.2072129493932282</v>
      </c>
      <c r="M48" s="11">
        <f t="shared" si="8"/>
        <v>11.207212949393227</v>
      </c>
      <c r="N48" s="11">
        <f t="shared" si="9"/>
        <v>-26.984607376757005</v>
      </c>
      <c r="O48" s="11">
        <f>Main!D48</f>
        <v>2.2999999999999998</v>
      </c>
      <c r="P48" s="11">
        <f>O48+(2*Main!U48)</f>
        <v>6.3</v>
      </c>
      <c r="Q48" s="11">
        <f>Main!S48</f>
        <v>50</v>
      </c>
      <c r="R48" s="11">
        <f>Q48+(2*Main!U48)</f>
        <v>54</v>
      </c>
      <c r="S48" s="11">
        <v>25</v>
      </c>
      <c r="T48" s="11">
        <v>2</v>
      </c>
      <c r="U48" s="12">
        <f>Main!T48</f>
        <v>10</v>
      </c>
      <c r="V48" s="20">
        <f>(Coordinates!H48)/Coordinates!F48*SIGN(Coordinates!B48)</f>
        <v>76.031794746010007</v>
      </c>
      <c r="W48" s="11">
        <f>V48*Coordinates!C48/Coordinates!B48</f>
        <v>238.21046111523435</v>
      </c>
      <c r="X48" s="11">
        <f>V48*Coordinates!D48/Coordinates!B48</f>
        <v>32.235474417372508</v>
      </c>
      <c r="Y48" s="11">
        <f>(Coordinates!H48-(Main!T53/2))/Coordinates!F48*SIGN(Coordinates!B48)</f>
        <v>74.523941724807315</v>
      </c>
      <c r="Z48" s="11">
        <f>Y48*Coordinates!C48/Coordinates!B48</f>
        <v>233.48630111513728</v>
      </c>
      <c r="AA48" s="12">
        <f>Y48*Coordinates!D48/Coordinates!B48</f>
        <v>31.596184530128486</v>
      </c>
    </row>
    <row r="49" spans="1:27" ht="15" customHeight="1" x14ac:dyDescent="0.45">
      <c r="A49" s="13">
        <v>47</v>
      </c>
      <c r="B49" s="11">
        <f>Main!B49+Main!C49+Main!T49</f>
        <v>238.54381560571485</v>
      </c>
      <c r="C49" s="11">
        <f>Coordinates!T49</f>
        <v>267.61151444724294</v>
      </c>
      <c r="D49" s="11">
        <f>Coordinates!V49</f>
        <v>7.802899565609323</v>
      </c>
      <c r="E49" s="11">
        <f>Coordinates!Q49</f>
        <v>118.06490478345086</v>
      </c>
      <c r="F49" s="11">
        <f>-Coordinates!P49</f>
        <v>-4.9246172497334779</v>
      </c>
      <c r="G49" s="11">
        <f>Coordinates!R49</f>
        <v>16.193035365601855</v>
      </c>
      <c r="H49" s="11">
        <f t="shared" si="5"/>
        <v>114.27190780285743</v>
      </c>
      <c r="I49" s="11">
        <f t="shared" si="6"/>
        <v>82.523950971583432</v>
      </c>
      <c r="J49" s="11">
        <f>Main!C49</f>
        <v>50.495913662547991</v>
      </c>
      <c r="K49" s="11">
        <f t="shared" si="7"/>
        <v>53.495913662547991</v>
      </c>
      <c r="L49" s="11">
        <f>Main!R49</f>
        <v>5.4071821187061762</v>
      </c>
      <c r="M49" s="11">
        <f t="shared" si="8"/>
        <v>11.407182118706176</v>
      </c>
      <c r="N49" s="11">
        <f t="shared" si="9"/>
        <v>-25.247956831273996</v>
      </c>
      <c r="O49" s="11">
        <f>Main!D49</f>
        <v>2.2999999999999998</v>
      </c>
      <c r="P49" s="11">
        <f>O49+(2*Main!U49)</f>
        <v>6.3</v>
      </c>
      <c r="Q49" s="11">
        <f>Main!S49</f>
        <v>50</v>
      </c>
      <c r="R49" s="11">
        <f>Q49+(2*Main!U49)</f>
        <v>54</v>
      </c>
      <c r="S49" s="11">
        <v>25</v>
      </c>
      <c r="T49" s="11">
        <v>2</v>
      </c>
      <c r="U49" s="12">
        <f>Main!T49</f>
        <v>10</v>
      </c>
      <c r="V49" s="20">
        <f>(Coordinates!H49)/Coordinates!F49*SIGN(Coordinates!B49)</f>
        <v>9.8492344994669558</v>
      </c>
      <c r="W49" s="11">
        <f>V49*Coordinates!C49/Coordinates!B49</f>
        <v>236.12980956690171</v>
      </c>
      <c r="X49" s="11">
        <f>V49*Coordinates!D49/Coordinates!B49</f>
        <v>32.386070731203709</v>
      </c>
      <c r="Y49" s="11">
        <f>(Coordinates!H49-(Main!T54/2))/Coordinates!F49*SIGN(Coordinates!B49)</f>
        <v>9.6427895225880196</v>
      </c>
      <c r="Z49" s="11">
        <f>Y49*Coordinates!C49/Coordinates!B49</f>
        <v>231.18040836429</v>
      </c>
      <c r="AA49" s="12">
        <f>Y49*Coordinates!D49/Coordinates!B49</f>
        <v>31.707242176186075</v>
      </c>
    </row>
    <row r="50" spans="1:27" ht="15" customHeight="1" x14ac:dyDescent="0.45">
      <c r="A50" s="13">
        <v>48</v>
      </c>
      <c r="B50" s="11">
        <f>Main!B50+Main!C50+Main!T50</f>
        <v>233.29803968207671</v>
      </c>
      <c r="C50" s="11">
        <f>Coordinates!T50</f>
        <v>-75.987502531244289</v>
      </c>
      <c r="D50" s="11">
        <f>Coordinates!V50</f>
        <v>7.9950336044149566</v>
      </c>
      <c r="E50" s="11">
        <f>Coordinates!Q50</f>
        <v>112.07781282472351</v>
      </c>
      <c r="F50" s="11">
        <f>-Coordinates!P50</f>
        <v>27.970104993122195</v>
      </c>
      <c r="G50" s="11">
        <f>Coordinates!R50</f>
        <v>16.224393023312807</v>
      </c>
      <c r="H50" s="11">
        <f t="shared" si="5"/>
        <v>111.64901984103835</v>
      </c>
      <c r="I50" s="11">
        <f t="shared" si="6"/>
        <v>80.576268866810082</v>
      </c>
      <c r="J50" s="11">
        <f>Main!C50</f>
        <v>49.145501948456534</v>
      </c>
      <c r="K50" s="11">
        <f t="shared" si="7"/>
        <v>52.145501948456534</v>
      </c>
      <c r="L50" s="11">
        <f>Main!R50</f>
        <v>5.4925607386115551</v>
      </c>
      <c r="M50" s="11">
        <f t="shared" si="8"/>
        <v>11.492560738611555</v>
      </c>
      <c r="N50" s="11">
        <f t="shared" si="9"/>
        <v>-24.572750974228267</v>
      </c>
      <c r="O50" s="11">
        <f>Main!D50</f>
        <v>2.2999999999999998</v>
      </c>
      <c r="P50" s="11">
        <f>O50+(2*Main!U50)</f>
        <v>6.3</v>
      </c>
      <c r="Q50" s="11">
        <f>Main!S50</f>
        <v>50</v>
      </c>
      <c r="R50" s="11">
        <f>Q50+(2*Main!U50)</f>
        <v>54</v>
      </c>
      <c r="S50" s="11">
        <v>25</v>
      </c>
      <c r="T50" s="11">
        <v>2</v>
      </c>
      <c r="U50" s="12">
        <f>Main!T50</f>
        <v>10</v>
      </c>
      <c r="V50" s="20">
        <f>(Coordinates!H50)/Coordinates!F50*SIGN(Coordinates!B50)</f>
        <v>-55.94020998624439</v>
      </c>
      <c r="W50" s="11">
        <f>V50*Coordinates!C50/Coordinates!B50</f>
        <v>224.15562564944702</v>
      </c>
      <c r="X50" s="11">
        <f>V50*Coordinates!D50/Coordinates!B50</f>
        <v>32.448786046625614</v>
      </c>
      <c r="Y50" s="11">
        <f>(Coordinates!H50-(Main!T55/2))/Coordinates!F50*SIGN(Coordinates!B50)</f>
        <v>-54.741309856983207</v>
      </c>
      <c r="Z50" s="11">
        <f>Y50*Coordinates!C50/Coordinates!B50</f>
        <v>219.35156415894087</v>
      </c>
      <c r="AA50" s="12">
        <f>Y50*Coordinates!D50/Coordinates!B50</f>
        <v>31.753349726396667</v>
      </c>
    </row>
    <row r="51" spans="1:27" ht="15" customHeight="1" x14ac:dyDescent="0.45">
      <c r="A51" s="13">
        <v>49</v>
      </c>
      <c r="B51" s="11">
        <f>Main!B51+Main!C51+Main!T51</f>
        <v>236.87685018812192</v>
      </c>
      <c r="C51" s="11">
        <f>Coordinates!T51</f>
        <v>-59.436047949223919</v>
      </c>
      <c r="D51" s="11">
        <f>Coordinates!V51</f>
        <v>7.8629657869469867</v>
      </c>
      <c r="E51" s="11">
        <f>Coordinates!Q51</f>
        <v>101.02400886395512</v>
      </c>
      <c r="F51" s="11">
        <f>-Coordinates!P51</f>
        <v>59.659674222473647</v>
      </c>
      <c r="G51" s="11">
        <f>Coordinates!R51</f>
        <v>16.202883801512645</v>
      </c>
      <c r="H51" s="11">
        <f t="shared" si="5"/>
        <v>113.43842509406096</v>
      </c>
      <c r="I51" s="11">
        <f t="shared" si="6"/>
        <v>81.904761547300154</v>
      </c>
      <c r="J51" s="11">
        <f>Main!C51</f>
        <v>50.067327093521619</v>
      </c>
      <c r="K51" s="11">
        <f t="shared" si="7"/>
        <v>53.067327093521619</v>
      </c>
      <c r="L51" s="11">
        <f>Main!R51</f>
        <v>5.4337802337025858</v>
      </c>
      <c r="M51" s="11">
        <f t="shared" si="8"/>
        <v>11.433780233702585</v>
      </c>
      <c r="N51" s="11">
        <f t="shared" si="9"/>
        <v>-25.03366354676081</v>
      </c>
      <c r="O51" s="11">
        <f>Main!D51</f>
        <v>2.2999999999999998</v>
      </c>
      <c r="P51" s="11">
        <f>O51+(2*Main!U51)</f>
        <v>6.3</v>
      </c>
      <c r="Q51" s="11">
        <f>Main!S51</f>
        <v>50</v>
      </c>
      <c r="R51" s="11">
        <f>Q51+(2*Main!U51)</f>
        <v>54</v>
      </c>
      <c r="S51" s="11">
        <v>25</v>
      </c>
      <c r="T51" s="11">
        <v>2</v>
      </c>
      <c r="U51" s="12">
        <f>Main!T51</f>
        <v>10</v>
      </c>
      <c r="V51" s="20">
        <f>(Coordinates!H51)/Coordinates!F51*SIGN(Coordinates!B51)</f>
        <v>-119.31934844494729</v>
      </c>
      <c r="W51" s="11">
        <f>V51*Coordinates!C51/Coordinates!B51</f>
        <v>202.04801772791023</v>
      </c>
      <c r="X51" s="11">
        <f>V51*Coordinates!D51/Coordinates!B51</f>
        <v>32.405767603025289</v>
      </c>
      <c r="Y51" s="11">
        <f>(Coordinates!H51-(Main!T56/2))/Coordinates!F51*SIGN(Coordinates!B51)</f>
        <v>-116.80075390204058</v>
      </c>
      <c r="Z51" s="11">
        <f>Y51*Coordinates!C51/Coordinates!B51</f>
        <v>197.78318523019152</v>
      </c>
      <c r="AA51" s="12">
        <f>Y51*Coordinates!D51/Coordinates!B51</f>
        <v>31.721746189001728</v>
      </c>
    </row>
    <row r="52" spans="1:27" ht="15" customHeight="1" x14ac:dyDescent="0.45">
      <c r="A52" s="13">
        <v>50</v>
      </c>
      <c r="B52" s="11">
        <f>Main!B52+Main!C52+Main!T52</f>
        <v>247.8626812783462</v>
      </c>
      <c r="C52" s="11">
        <f>Coordinates!T52</f>
        <v>-43.805719183485337</v>
      </c>
      <c r="D52" s="11">
        <f>Coordinates!V52</f>
        <v>7.483298161980187</v>
      </c>
      <c r="E52" s="11">
        <f>Coordinates!Q52</f>
        <v>85.056499097363897</v>
      </c>
      <c r="F52" s="11">
        <f>-Coordinates!P52</f>
        <v>88.678376409170042</v>
      </c>
      <c r="G52" s="11">
        <f>Coordinates!R52</f>
        <v>16.14046812693012</v>
      </c>
      <c r="H52" s="11">
        <f t="shared" si="5"/>
        <v>118.9313406391731</v>
      </c>
      <c r="I52" s="11">
        <f t="shared" si="6"/>
        <v>85.989718703540234</v>
      </c>
      <c r="J52" s="11">
        <f>Main!C52</f>
        <v>52.883243871265748</v>
      </c>
      <c r="K52" s="11">
        <f t="shared" si="7"/>
        <v>55.883243871265748</v>
      </c>
      <c r="L52" s="11">
        <f>Main!R52</f>
        <v>5.2669133077755852</v>
      </c>
      <c r="M52" s="11">
        <f t="shared" si="8"/>
        <v>11.266913307775585</v>
      </c>
      <c r="N52" s="11">
        <f t="shared" si="9"/>
        <v>-26.441621935632874</v>
      </c>
      <c r="O52" s="11">
        <f>Main!D52</f>
        <v>2.2999999999999998</v>
      </c>
      <c r="P52" s="11">
        <f>O52+(2*Main!U52)</f>
        <v>6.3</v>
      </c>
      <c r="Q52" s="11">
        <f>Main!S52</f>
        <v>50</v>
      </c>
      <c r="R52" s="11">
        <f>Q52+(2*Main!U52)</f>
        <v>54</v>
      </c>
      <c r="S52" s="11">
        <v>25</v>
      </c>
      <c r="T52" s="11">
        <v>2</v>
      </c>
      <c r="U52" s="12">
        <f>Main!T52</f>
        <v>10</v>
      </c>
      <c r="V52" s="20">
        <f>(Coordinates!H52)/Coordinates!F52*SIGN(Coordinates!B52)</f>
        <v>-177.35675281834008</v>
      </c>
      <c r="W52" s="11">
        <f>V52*Coordinates!C52/Coordinates!B52</f>
        <v>170.11299819472779</v>
      </c>
      <c r="X52" s="11">
        <f>V52*Coordinates!D52/Coordinates!B52</f>
        <v>32.28093625386024</v>
      </c>
      <c r="Y52" s="11">
        <f>(Coordinates!H52-(Main!T57/2))/Coordinates!F52*SIGN(Coordinates!B52)</f>
        <v>-173.77903083325489</v>
      </c>
      <c r="Z52" s="11">
        <f>Y52*Coordinates!C52/Coordinates!B52</f>
        <v>166.68140055934813</v>
      </c>
      <c r="AA52" s="12">
        <f>Y52*Coordinates!D52/Coordinates!B52</f>
        <v>31.629750361587707</v>
      </c>
    </row>
    <row r="53" spans="1:27" ht="15" customHeight="1" x14ac:dyDescent="0.45">
      <c r="A53" s="13">
        <v>51</v>
      </c>
      <c r="B53" s="11">
        <f>Main!B53+Main!C53+Main!T53</f>
        <v>263.87872268955954</v>
      </c>
      <c r="C53" s="11">
        <f>Coordinates!T53</f>
        <v>-29.272683834126891</v>
      </c>
      <c r="D53" s="11">
        <f>Coordinates!V53</f>
        <v>6.9909046282808163</v>
      </c>
      <c r="E53" s="11">
        <f>Coordinates!Q53</f>
        <v>64.034315131431896</v>
      </c>
      <c r="F53" s="11">
        <f>-Coordinates!P53</f>
        <v>114.23538741592795</v>
      </c>
      <c r="G53" s="11">
        <f>Coordinates!R53</f>
        <v>16.058574645642956</v>
      </c>
      <c r="H53" s="11">
        <f t="shared" si="5"/>
        <v>126.93936134477977</v>
      </c>
      <c r="I53" s="11">
        <f t="shared" si="6"/>
        <v>91.961298546736629</v>
      </c>
      <c r="J53" s="11">
        <f>Main!C53</f>
        <v>56.956125596086267</v>
      </c>
      <c r="K53" s="11">
        <f t="shared" si="7"/>
        <v>59.956125596086267</v>
      </c>
      <c r="L53" s="11">
        <f>Main!R53</f>
        <v>5.0547519842322517</v>
      </c>
      <c r="M53" s="11">
        <f t="shared" si="8"/>
        <v>11.054751984232251</v>
      </c>
      <c r="N53" s="11">
        <f t="shared" si="9"/>
        <v>-28.478062798043133</v>
      </c>
      <c r="O53" s="11">
        <f>Main!D53</f>
        <v>2.2999999999999998</v>
      </c>
      <c r="P53" s="11">
        <f>O53+(2*Main!U53)</f>
        <v>6.3</v>
      </c>
      <c r="Q53" s="11">
        <f>Main!S53</f>
        <v>50</v>
      </c>
      <c r="R53" s="11">
        <f>Q53+(2*Main!U53)</f>
        <v>54</v>
      </c>
      <c r="S53" s="11">
        <v>25</v>
      </c>
      <c r="T53" s="11">
        <v>2</v>
      </c>
      <c r="U53" s="12">
        <f>Main!T53</f>
        <v>10</v>
      </c>
      <c r="V53" s="20">
        <f>(Coordinates!H53)/Coordinates!F53*SIGN(Coordinates!B53)</f>
        <v>-228.47077483185589</v>
      </c>
      <c r="W53" s="11">
        <f>V53*Coordinates!C53/Coordinates!B53</f>
        <v>128.06863026286379</v>
      </c>
      <c r="X53" s="11">
        <f>V53*Coordinates!D53/Coordinates!B53</f>
        <v>32.117149291285912</v>
      </c>
      <c r="Y53" s="11">
        <f>(Coordinates!H53-(Main!T58/2))/Coordinates!F53*SIGN(Coordinates!B53)</f>
        <v>-224.14168811157793</v>
      </c>
      <c r="Z53" s="11">
        <f>Y53*Coordinates!C53/Coordinates!B53</f>
        <v>125.64197325623709</v>
      </c>
      <c r="AA53" s="12">
        <f>Y53*Coordinates!D53/Coordinates!B53</f>
        <v>31.508590386575158</v>
      </c>
    </row>
    <row r="54" spans="1:27" ht="15" customHeight="1" x14ac:dyDescent="0.45">
      <c r="A54" s="13">
        <v>52</v>
      </c>
      <c r="B54" s="11">
        <f>Main!B54+Main!C54+Main!T54</f>
        <v>282.06609601575718</v>
      </c>
      <c r="C54" s="11">
        <f>Coordinates!T54</f>
        <v>-15.80723941078455</v>
      </c>
      <c r="D54" s="11">
        <f>Coordinates!V54</f>
        <v>6.5045478930677234</v>
      </c>
      <c r="E54" s="11">
        <f>Coordinates!Q54</f>
        <v>38.170359740871</v>
      </c>
      <c r="F54" s="11">
        <f>-Coordinates!P54</f>
        <v>134.82616651218908</v>
      </c>
      <c r="G54" s="11">
        <f>Coordinates!R54</f>
        <v>15.9765168692223</v>
      </c>
      <c r="H54" s="11">
        <f t="shared" si="5"/>
        <v>136.03304800787859</v>
      </c>
      <c r="I54" s="11">
        <f t="shared" si="6"/>
        <v>98.761574626923561</v>
      </c>
      <c r="J54" s="11">
        <f>Main!C54</f>
        <v>61.542946761910066</v>
      </c>
      <c r="K54" s="11">
        <f t="shared" si="7"/>
        <v>64.542946761910059</v>
      </c>
      <c r="L54" s="11">
        <f>Main!R54</f>
        <v>4.8494391844283271</v>
      </c>
      <c r="M54" s="11">
        <f t="shared" si="8"/>
        <v>10.849439184428327</v>
      </c>
      <c r="N54" s="11">
        <f t="shared" si="9"/>
        <v>-30.771473380955033</v>
      </c>
      <c r="O54" s="11">
        <f>Main!D54</f>
        <v>2.2999999999999998</v>
      </c>
      <c r="P54" s="11">
        <f>O54+(2*Main!U54)</f>
        <v>6.3</v>
      </c>
      <c r="Q54" s="11">
        <f>Main!S54</f>
        <v>50</v>
      </c>
      <c r="R54" s="11">
        <f>Q54+(2*Main!U54)</f>
        <v>54</v>
      </c>
      <c r="S54" s="11">
        <v>25</v>
      </c>
      <c r="T54" s="11">
        <v>2</v>
      </c>
      <c r="U54" s="12">
        <f>Main!T54</f>
        <v>10</v>
      </c>
      <c r="V54" s="20">
        <f>(Coordinates!H54)/Coordinates!F54*SIGN(Coordinates!B54)</f>
        <v>-269.65233302437815</v>
      </c>
      <c r="W54" s="11">
        <f>V54*Coordinates!C54/Coordinates!B54</f>
        <v>76.340719481741999</v>
      </c>
      <c r="X54" s="11">
        <f>V54*Coordinates!D54/Coordinates!B54</f>
        <v>31.953033738444599</v>
      </c>
      <c r="Y54" s="11">
        <f>(Coordinates!H54-(Main!T59/2))/Coordinates!F54*SIGN(Coordinates!B54)</f>
        <v>-264.87238362894789</v>
      </c>
      <c r="Z54" s="11">
        <f>Y54*Coordinates!C54/Coordinates!B54</f>
        <v>74.987477802574048</v>
      </c>
      <c r="AA54" s="12">
        <f>Y54*Coordinates!D54/Coordinates!B54</f>
        <v>31.3866233440408</v>
      </c>
    </row>
    <row r="55" spans="1:27" ht="15" customHeight="1" x14ac:dyDescent="0.45">
      <c r="A55" s="13">
        <v>53</v>
      </c>
      <c r="B55" s="11">
        <f>Main!B55+Main!C55+Main!T55</f>
        <v>299.46970704855914</v>
      </c>
      <c r="C55" s="11">
        <f>Coordinates!T55</f>
        <v>-3.239493319287543</v>
      </c>
      <c r="D55" s="11">
        <f>Coordinates!V55</f>
        <v>6.0983533701058548</v>
      </c>
      <c r="E55" s="11">
        <f>Coordinates!Q55</f>
        <v>8.4135889636216383</v>
      </c>
      <c r="F55" s="11">
        <f>-Coordinates!P55</f>
        <v>148.64958883276023</v>
      </c>
      <c r="G55" s="11">
        <f>Coordinates!R55</f>
        <v>15.907156268170946</v>
      </c>
      <c r="H55" s="11">
        <f t="shared" si="5"/>
        <v>144.73485352427957</v>
      </c>
      <c r="I55" s="11">
        <f t="shared" si="6"/>
        <v>105.28420179619982</v>
      </c>
      <c r="J55" s="11">
        <f>Main!C55</f>
        <v>65.901303456159482</v>
      </c>
      <c r="K55" s="11">
        <f t="shared" si="7"/>
        <v>68.901303456159482</v>
      </c>
      <c r="L55" s="11">
        <f>Main!R55</f>
        <v>4.680833030174842</v>
      </c>
      <c r="M55" s="11">
        <f t="shared" si="8"/>
        <v>10.680833030174842</v>
      </c>
      <c r="N55" s="11">
        <f t="shared" si="9"/>
        <v>-32.950651728079741</v>
      </c>
      <c r="O55" s="11">
        <f>Main!D55</f>
        <v>2.2999999999999998</v>
      </c>
      <c r="P55" s="11">
        <f>O55+(2*Main!U55)</f>
        <v>6.3</v>
      </c>
      <c r="Q55" s="11">
        <f>Main!S55</f>
        <v>50</v>
      </c>
      <c r="R55" s="11">
        <f>Q55+(2*Main!U55)</f>
        <v>54</v>
      </c>
      <c r="S55" s="11">
        <v>25</v>
      </c>
      <c r="T55" s="11">
        <v>2</v>
      </c>
      <c r="U55" s="12">
        <f>Main!T55</f>
        <v>10</v>
      </c>
      <c r="V55" s="20">
        <f>(Coordinates!H55)/Coordinates!F55*SIGN(Coordinates!B55)</f>
        <v>-297.29917766552046</v>
      </c>
      <c r="W55" s="11">
        <f>V55*Coordinates!C55/Coordinates!B55</f>
        <v>16.827177927243277</v>
      </c>
      <c r="X55" s="11">
        <f>V55*Coordinates!D55/Coordinates!B55</f>
        <v>31.814312536341891</v>
      </c>
      <c r="Y55" s="11">
        <f>(Coordinates!H55-(Main!T60/2))/Coordinates!F55*SIGN(Coordinates!B55)</f>
        <v>-292.33541721382784</v>
      </c>
      <c r="Z55" s="11">
        <f>Y55*Coordinates!C55/Coordinates!B55</f>
        <v>16.546228343175418</v>
      </c>
      <c r="AA55" s="12">
        <f>Y55*Coordinates!D55/Coordinates!B55</f>
        <v>31.283135061833871</v>
      </c>
    </row>
    <row r="56" spans="1:27" ht="15" customHeight="1" x14ac:dyDescent="0.45">
      <c r="A56" s="13">
        <v>54</v>
      </c>
      <c r="B56" s="11">
        <f>Main!B56+Main!C56+Main!T56</f>
        <v>313.73866445023702</v>
      </c>
      <c r="C56" s="11">
        <f>Coordinates!T56</f>
        <v>8.6638982069119823</v>
      </c>
      <c r="D56" s="11">
        <f>Coordinates!V56</f>
        <v>5.8011975570406662</v>
      </c>
      <c r="E56" s="11">
        <f>Coordinates!Q56</f>
        <v>-23.509452654376268</v>
      </c>
      <c r="F56" s="11">
        <f>-Coordinates!P56</f>
        <v>154.28507249785233</v>
      </c>
      <c r="G56" s="11">
        <f>Coordinates!R56</f>
        <v>15.855895842830973</v>
      </c>
      <c r="H56" s="11">
        <f t="shared" si="5"/>
        <v>151.86933222511851</v>
      </c>
      <c r="I56" s="11">
        <f t="shared" si="6"/>
        <v>110.64128124680258</v>
      </c>
      <c r="J56" s="11">
        <f>Main!C56</f>
        <v>69.456101956631855</v>
      </c>
      <c r="K56" s="11">
        <f t="shared" si="7"/>
        <v>72.456101956631855</v>
      </c>
      <c r="L56" s="11">
        <f>Main!R56</f>
        <v>4.5589807890164611</v>
      </c>
      <c r="M56" s="11">
        <f t="shared" si="8"/>
        <v>10.558980789016461</v>
      </c>
      <c r="N56" s="11">
        <f t="shared" si="9"/>
        <v>-34.728050978315927</v>
      </c>
      <c r="O56" s="11">
        <f>Main!D56</f>
        <v>2.2999999999999998</v>
      </c>
      <c r="P56" s="11">
        <f>O56+(2*Main!U56)</f>
        <v>6.3</v>
      </c>
      <c r="Q56" s="11">
        <f>Main!S56</f>
        <v>50</v>
      </c>
      <c r="R56" s="11">
        <f>Q56+(2*Main!U56)</f>
        <v>54</v>
      </c>
      <c r="S56" s="11">
        <v>25</v>
      </c>
      <c r="T56" s="11">
        <v>2</v>
      </c>
      <c r="U56" s="12">
        <f>Main!T56</f>
        <v>10</v>
      </c>
      <c r="V56" s="20">
        <f>(Coordinates!H56)/Coordinates!F56*SIGN(Coordinates!B56)</f>
        <v>-308.57014499570465</v>
      </c>
      <c r="W56" s="11">
        <f>V56*Coordinates!C56/Coordinates!B56</f>
        <v>-47.018905308752537</v>
      </c>
      <c r="X56" s="11">
        <f>V56*Coordinates!D56/Coordinates!B56</f>
        <v>31.711791685661947</v>
      </c>
      <c r="Y56" s="11">
        <f>(Coordinates!H56-(Main!T61/2))/Coordinates!F56*SIGN(Coordinates!B56)</f>
        <v>-303.65251481556078</v>
      </c>
      <c r="Z56" s="11">
        <f>Y56*Coordinates!C56/Coordinates!B56</f>
        <v>-46.269572972058505</v>
      </c>
      <c r="AA56" s="12">
        <f>Y56*Coordinates!D56/Coordinates!B56</f>
        <v>31.20640622829044</v>
      </c>
    </row>
    <row r="57" spans="1:27" ht="15" customHeight="1" x14ac:dyDescent="0.45">
      <c r="A57" s="13">
        <v>55</v>
      </c>
      <c r="B57" s="11">
        <f>Main!B57+Main!C57+Main!T57</f>
        <v>323.7742798180609</v>
      </c>
      <c r="C57" s="11">
        <f>Coordinates!T57</f>
        <v>20.157895203759942</v>
      </c>
      <c r="D57" s="11">
        <f>Coordinates!V57</f>
        <v>5.6089409140746653</v>
      </c>
      <c r="E57" s="11">
        <f>Coordinates!Q57</f>
        <v>-55.520571963750243</v>
      </c>
      <c r="F57" s="11">
        <f>-Coordinates!P57</f>
        <v>151.24337610164648</v>
      </c>
      <c r="G57" s="11">
        <f>Coordinates!R57</f>
        <v>15.822558014428047</v>
      </c>
      <c r="H57" s="11">
        <f t="shared" si="5"/>
        <v>156.88713990903045</v>
      </c>
      <c r="I57" s="11">
        <f t="shared" si="6"/>
        <v>114.41331468839564</v>
      </c>
      <c r="J57" s="11">
        <f>Main!C57</f>
        <v>71.947650441269602</v>
      </c>
      <c r="K57" s="11">
        <f t="shared" si="7"/>
        <v>74.947650441269602</v>
      </c>
      <c r="L57" s="11">
        <f>Main!R57</f>
        <v>4.4807522419106158</v>
      </c>
      <c r="M57" s="11">
        <f t="shared" si="8"/>
        <v>10.480752241910615</v>
      </c>
      <c r="N57" s="11">
        <f t="shared" si="9"/>
        <v>-35.973825220634801</v>
      </c>
      <c r="O57" s="11">
        <f>Main!D57</f>
        <v>2.2999999999999998</v>
      </c>
      <c r="P57" s="11">
        <f>O57+(2*Main!U57)</f>
        <v>6.3</v>
      </c>
      <c r="Q57" s="11">
        <f>Main!S57</f>
        <v>50</v>
      </c>
      <c r="R57" s="11">
        <f>Q57+(2*Main!U57)</f>
        <v>54</v>
      </c>
      <c r="S57" s="11">
        <v>25</v>
      </c>
      <c r="T57" s="11">
        <v>2</v>
      </c>
      <c r="U57" s="12">
        <f>Main!T57</f>
        <v>10</v>
      </c>
      <c r="V57" s="20">
        <f>(Coordinates!H57)/Coordinates!F57*SIGN(Coordinates!B57)</f>
        <v>-302.48675220329295</v>
      </c>
      <c r="W57" s="11">
        <f>V57*Coordinates!C57/Coordinates!B57</f>
        <v>-111.04114392750049</v>
      </c>
      <c r="X57" s="11">
        <f>V57*Coordinates!D57/Coordinates!B57</f>
        <v>31.645116028856094</v>
      </c>
      <c r="Y57" s="11">
        <f>(Coordinates!H57-(Main!T62/2))/Coordinates!F57*SIGN(Coordinates!B57)</f>
        <v>-297.81549245447547</v>
      </c>
      <c r="Z57" s="11">
        <f>Y57*Coordinates!C57/Coordinates!B57</f>
        <v>-109.32635138761903</v>
      </c>
      <c r="AA57" s="12">
        <f>Y57*Coordinates!D57/Coordinates!B57</f>
        <v>31.156425017843137</v>
      </c>
    </row>
    <row r="58" spans="1:27" ht="15" customHeight="1" x14ac:dyDescent="0.45">
      <c r="A58" s="13">
        <v>56</v>
      </c>
      <c r="B58" s="11">
        <f>Main!B58+Main!C58+Main!T58</f>
        <v>329.79842006143929</v>
      </c>
      <c r="C58" s="11">
        <f>Coordinates!T58</f>
        <v>31.43690893995597</v>
      </c>
      <c r="D58" s="11">
        <f>Coordinates!V58</f>
        <v>5.4995118090659219</v>
      </c>
      <c r="E58" s="11">
        <f>Coordinates!Q58</f>
        <v>-85.60884900050786</v>
      </c>
      <c r="F58" s="11">
        <f>-Coordinates!P58</f>
        <v>140.04686406873597</v>
      </c>
      <c r="G58" s="11">
        <f>Coordinates!R58</f>
        <v>15.803490313111837</v>
      </c>
      <c r="H58" s="11">
        <f t="shared" si="5"/>
        <v>159.89921003071964</v>
      </c>
      <c r="I58" s="11">
        <f t="shared" si="6"/>
        <v>116.67911238120895</v>
      </c>
      <c r="J58" s="11">
        <f>Main!C58</f>
        <v>73.440195299021383</v>
      </c>
      <c r="K58" s="11">
        <f t="shared" si="7"/>
        <v>76.440195299021383</v>
      </c>
      <c r="L58" s="11">
        <f>Main!R58</f>
        <v>4.4364322270816556</v>
      </c>
      <c r="M58" s="11">
        <f t="shared" si="8"/>
        <v>10.436432227081657</v>
      </c>
      <c r="N58" s="11">
        <f t="shared" si="9"/>
        <v>-36.720097649510691</v>
      </c>
      <c r="O58" s="11">
        <f>Main!D58</f>
        <v>2.2999999999999998</v>
      </c>
      <c r="P58" s="11">
        <f>O58+(2*Main!U58)</f>
        <v>6.3</v>
      </c>
      <c r="Q58" s="11">
        <f>Main!S58</f>
        <v>50</v>
      </c>
      <c r="R58" s="11">
        <f>Q58+(2*Main!U58)</f>
        <v>54</v>
      </c>
      <c r="S58" s="11">
        <v>25</v>
      </c>
      <c r="T58" s="11">
        <v>2</v>
      </c>
      <c r="U58" s="12">
        <f>Main!T58</f>
        <v>10</v>
      </c>
      <c r="V58" s="20">
        <f>(Coordinates!H58)/Coordinates!F58*SIGN(Coordinates!B58)</f>
        <v>-280.09372813747194</v>
      </c>
      <c r="W58" s="11">
        <f>V58*Coordinates!C58/Coordinates!B58</f>
        <v>-171.21769800101572</v>
      </c>
      <c r="X58" s="11">
        <f>V58*Coordinates!D58/Coordinates!B58</f>
        <v>31.606980626223674</v>
      </c>
      <c r="Y58" s="11">
        <f>(Coordinates!H58-(Main!T63/2))/Coordinates!F58*SIGN(Coordinates!B58)</f>
        <v>-275.84728984214456</v>
      </c>
      <c r="Z58" s="11">
        <f>Y58*Coordinates!C58/Coordinates!B58</f>
        <v>-168.62190481969731</v>
      </c>
      <c r="AA58" s="12">
        <f>Y58*Coordinates!D58/Coordinates!B58</f>
        <v>31.127794270201477</v>
      </c>
    </row>
    <row r="59" spans="1:27" ht="15" customHeight="1" x14ac:dyDescent="0.45">
      <c r="A59" s="13">
        <v>57</v>
      </c>
      <c r="B59" s="11">
        <f>Main!B59+Main!C59+Main!T59</f>
        <v>333.009508235873</v>
      </c>
      <c r="C59" s="11">
        <f>Coordinates!T59</f>
        <v>42.608069578213971</v>
      </c>
      <c r="D59" s="11">
        <f>Coordinates!V59</f>
        <v>5.4429011203110207</v>
      </c>
      <c r="E59" s="11">
        <f>Coordinates!Q59</f>
        <v>-112.21209662644108</v>
      </c>
      <c r="F59" s="11">
        <f>-Coordinates!P59</f>
        <v>121.99524913150316</v>
      </c>
      <c r="G59" s="11">
        <f>Coordinates!R59</f>
        <v>15.793596927717799</v>
      </c>
      <c r="H59" s="11">
        <f t="shared" si="5"/>
        <v>161.5047541179365</v>
      </c>
      <c r="I59" s="11">
        <f t="shared" si="6"/>
        <v>117.88730714269042</v>
      </c>
      <c r="J59" s="11">
        <f>Main!C59</f>
        <v>74.23489395049215</v>
      </c>
      <c r="K59" s="11">
        <f t="shared" si="7"/>
        <v>77.23489395049215</v>
      </c>
      <c r="L59" s="11">
        <f>Main!R59</f>
        <v>4.413561313964264</v>
      </c>
      <c r="M59" s="11">
        <f t="shared" si="8"/>
        <v>10.413561313964264</v>
      </c>
      <c r="N59" s="11">
        <f t="shared" si="9"/>
        <v>-37.117446975246075</v>
      </c>
      <c r="O59" s="11">
        <f>Main!D59</f>
        <v>2.2999999999999998</v>
      </c>
      <c r="P59" s="11">
        <f>O59+(2*Main!U59)</f>
        <v>6.3</v>
      </c>
      <c r="Q59" s="11">
        <f>Main!S59</f>
        <v>50</v>
      </c>
      <c r="R59" s="11">
        <f>Q59+(2*Main!U59)</f>
        <v>54</v>
      </c>
      <c r="S59" s="11">
        <v>25</v>
      </c>
      <c r="T59" s="11">
        <v>2</v>
      </c>
      <c r="U59" s="12">
        <f>Main!T59</f>
        <v>10</v>
      </c>
      <c r="V59" s="20">
        <f>(Coordinates!H59)/Coordinates!F59*SIGN(Coordinates!B59)</f>
        <v>-243.99049826300632</v>
      </c>
      <c r="W59" s="11">
        <f>V59*Coordinates!C59/Coordinates!B59</f>
        <v>-224.42419325288216</v>
      </c>
      <c r="X59" s="11">
        <f>V59*Coordinates!D59/Coordinates!B59</f>
        <v>31.587193855435597</v>
      </c>
      <c r="Y59" s="11">
        <f>(Coordinates!H59-(Main!T64/2))/Coordinates!F59*SIGN(Coordinates!B59)</f>
        <v>-240.32708187055024</v>
      </c>
      <c r="Z59" s="11">
        <f>Y59*Coordinates!C59/Coordinates!B59</f>
        <v>-221.05455683556519</v>
      </c>
      <c r="AA59" s="12">
        <f>Y59*Coordinates!D59/Coordinates!B59</f>
        <v>31.112925207330477</v>
      </c>
    </row>
    <row r="60" spans="1:27" ht="15" customHeight="1" x14ac:dyDescent="0.45">
      <c r="A60" s="13">
        <v>58</v>
      </c>
      <c r="B60" s="11">
        <f>Main!B60+Main!C60+Main!T60</f>
        <v>335.01213789060154</v>
      </c>
      <c r="C60" s="11">
        <f>Coordinates!T60</f>
        <v>53.710732447177577</v>
      </c>
      <c r="D60" s="11">
        <f>Coordinates!V60</f>
        <v>5.4081839422492806</v>
      </c>
      <c r="E60" s="11">
        <f>Coordinates!Q60</f>
        <v>-134.41542736762057</v>
      </c>
      <c r="F60" s="11">
        <f>-Coordinates!P60</f>
        <v>98.699188505146452</v>
      </c>
      <c r="G60" s="11">
        <f>Coordinates!R60</f>
        <v>15.787533294132491</v>
      </c>
      <c r="H60" s="11">
        <f t="shared" si="5"/>
        <v>162.50606894530077</v>
      </c>
      <c r="I60" s="11">
        <f t="shared" si="6"/>
        <v>118.64096052715914</v>
      </c>
      <c r="J60" s="11">
        <f>Main!C60</f>
        <v>74.730216836283262</v>
      </c>
      <c r="K60" s="11">
        <f t="shared" si="7"/>
        <v>77.730216836283262</v>
      </c>
      <c r="L60" s="11">
        <f>Main!R60</f>
        <v>4.3995523182239902</v>
      </c>
      <c r="M60" s="11">
        <f t="shared" si="8"/>
        <v>10.399552318223989</v>
      </c>
      <c r="N60" s="11">
        <f t="shared" si="9"/>
        <v>-37.365108418141631</v>
      </c>
      <c r="O60" s="11">
        <f>Main!D60</f>
        <v>2.2999999999999998</v>
      </c>
      <c r="P60" s="11">
        <f>O60+(2*Main!U60)</f>
        <v>6.3</v>
      </c>
      <c r="Q60" s="11">
        <f>Main!S60</f>
        <v>50</v>
      </c>
      <c r="R60" s="11">
        <f>Q60+(2*Main!U60)</f>
        <v>54</v>
      </c>
      <c r="S60" s="11">
        <v>25</v>
      </c>
      <c r="T60" s="11">
        <v>2</v>
      </c>
      <c r="U60" s="12">
        <f>Main!T60</f>
        <v>10</v>
      </c>
      <c r="V60" s="20">
        <f>(Coordinates!H60)/Coordinates!F60*SIGN(Coordinates!B60)</f>
        <v>-197.3983770102929</v>
      </c>
      <c r="W60" s="11">
        <f>V60*Coordinates!C60/Coordinates!B60</f>
        <v>-268.83085473524113</v>
      </c>
      <c r="X60" s="11">
        <f>V60*Coordinates!D60/Coordinates!B60</f>
        <v>31.575066588264981</v>
      </c>
      <c r="Y60" s="11">
        <f>(Coordinates!H60-(Main!T65/2))/Coordinates!F60*SIGN(Coordinates!B60)</f>
        <v>-194.45223932326448</v>
      </c>
      <c r="Z60" s="11">
        <f>Y60*Coordinates!C60/Coordinates!B60</f>
        <v>-264.8185992923797</v>
      </c>
      <c r="AA60" s="12">
        <f>Y60*Coordinates!D60/Coordinates!B60</f>
        <v>31.10381401235718</v>
      </c>
    </row>
    <row r="61" spans="1:27" ht="15" customHeight="1" x14ac:dyDescent="0.45">
      <c r="A61" s="13">
        <v>59</v>
      </c>
      <c r="B61" s="11">
        <f>Main!B61+Main!C61+Main!T61</f>
        <v>337.32208177492294</v>
      </c>
      <c r="C61" s="11">
        <f>Coordinates!T61</f>
        <v>64.726671254963591</v>
      </c>
      <c r="D61" s="11">
        <f>Coordinates!V61</f>
        <v>5.3686806000487906</v>
      </c>
      <c r="E61" s="11">
        <f>Coordinates!Q61</f>
        <v>-151.84798712892805</v>
      </c>
      <c r="F61" s="11">
        <f>-Coordinates!P61</f>
        <v>71.691754097375991</v>
      </c>
      <c r="G61" s="11">
        <f>Coordinates!R61</f>
        <v>15.780618257097183</v>
      </c>
      <c r="H61" s="11">
        <f t="shared" si="5"/>
        <v>163.66104088746147</v>
      </c>
      <c r="I61" s="11">
        <f t="shared" si="6"/>
        <v>119.51040546816957</v>
      </c>
      <c r="J61" s="11">
        <f>Main!C61</f>
        <v>75.301270838583804</v>
      </c>
      <c r="K61" s="11">
        <f t="shared" si="7"/>
        <v>78.301270838583804</v>
      </c>
      <c r="L61" s="11">
        <f>Main!R61</f>
        <v>4.3836301732055976</v>
      </c>
      <c r="M61" s="11">
        <f t="shared" si="8"/>
        <v>10.383630173205598</v>
      </c>
      <c r="N61" s="11">
        <f t="shared" si="9"/>
        <v>-37.650635419291902</v>
      </c>
      <c r="O61" s="11">
        <f>Main!D61</f>
        <v>2.2999999999999998</v>
      </c>
      <c r="P61" s="11">
        <f>O61+(2*Main!U61)</f>
        <v>6.3</v>
      </c>
      <c r="Q61" s="11">
        <f>Main!S61</f>
        <v>50</v>
      </c>
      <c r="R61" s="11">
        <f>Q61+(2*Main!U61)</f>
        <v>54</v>
      </c>
      <c r="S61" s="11">
        <v>25</v>
      </c>
      <c r="T61" s="11">
        <v>2</v>
      </c>
      <c r="U61" s="12">
        <f>Main!T61</f>
        <v>10</v>
      </c>
      <c r="V61" s="20">
        <f>(Coordinates!H61)/Coordinates!F61*SIGN(Coordinates!B61)</f>
        <v>-143.38350819475198</v>
      </c>
      <c r="W61" s="11">
        <f>V61*Coordinates!C61/Coordinates!B61</f>
        <v>-303.69597425785611</v>
      </c>
      <c r="X61" s="11">
        <f>V61*Coordinates!D61/Coordinates!B61</f>
        <v>31.561236514194366</v>
      </c>
      <c r="Y61" s="11">
        <f>(Coordinates!H61-(Main!T66/2))/Coordinates!F61*SIGN(Coordinates!B61)</f>
        <v>-141.25818767852167</v>
      </c>
      <c r="Z61" s="11">
        <f>Y61*Coordinates!C61/Coordinates!B61</f>
        <v>-299.19440156715245</v>
      </c>
      <c r="AA61" s="12">
        <f>Y61*Coordinates!D61/Coordinates!B61</f>
        <v>31.093416021267764</v>
      </c>
    </row>
    <row r="62" spans="1:27" ht="15" customHeight="1" x14ac:dyDescent="0.45">
      <c r="A62" s="13">
        <v>60</v>
      </c>
      <c r="B62" s="11">
        <f>Main!B62+Main!C62+Main!T62</f>
        <v>341.07838082006691</v>
      </c>
      <c r="C62" s="11">
        <f>Coordinates!T62</f>
        <v>75.600013566373519</v>
      </c>
      <c r="D62" s="11">
        <f>Coordinates!V62</f>
        <v>5.3056531718539901</v>
      </c>
      <c r="E62" s="11">
        <f>Coordinates!Q62</f>
        <v>-164.47369161032904</v>
      </c>
      <c r="F62" s="11">
        <f>-Coordinates!P62</f>
        <v>42.229624923061671</v>
      </c>
      <c r="G62" s="11">
        <f>Coordinates!R62</f>
        <v>15.769559684327238</v>
      </c>
      <c r="H62" s="11">
        <f t="shared" si="5"/>
        <v>165.53919041003346</v>
      </c>
      <c r="I62" s="11">
        <f t="shared" si="6"/>
        <v>120.92455800845457</v>
      </c>
      <c r="J62" s="11">
        <f>Main!C62</f>
        <v>76.22926480315779</v>
      </c>
      <c r="K62" s="11">
        <f t="shared" si="7"/>
        <v>79.22926480315779</v>
      </c>
      <c r="L62" s="11">
        <f>Main!R62</f>
        <v>4.3582646363591904</v>
      </c>
      <c r="M62" s="11">
        <f t="shared" si="8"/>
        <v>10.358264636359191</v>
      </c>
      <c r="N62" s="11">
        <f t="shared" si="9"/>
        <v>-38.114632401578895</v>
      </c>
      <c r="O62" s="11">
        <f>Main!D62</f>
        <v>2.2999999999999998</v>
      </c>
      <c r="P62" s="11">
        <f>O62+(2*Main!U62)</f>
        <v>6.3</v>
      </c>
      <c r="Q62" s="11">
        <f>Main!S62</f>
        <v>50</v>
      </c>
      <c r="R62" s="11">
        <f>Q62+(2*Main!U62)</f>
        <v>54</v>
      </c>
      <c r="S62" s="11">
        <v>25</v>
      </c>
      <c r="T62" s="11">
        <v>2</v>
      </c>
      <c r="U62" s="12">
        <f>Main!T62</f>
        <v>10</v>
      </c>
      <c r="V62" s="20">
        <f>(Coordinates!H62)/Coordinates!F62*SIGN(Coordinates!B62)</f>
        <v>-84.459249846123342</v>
      </c>
      <c r="W62" s="11">
        <f>V62*Coordinates!C62/Coordinates!B62</f>
        <v>-328.94738322065808</v>
      </c>
      <c r="X62" s="11">
        <f>V62*Coordinates!D62/Coordinates!B62</f>
        <v>31.539119368654475</v>
      </c>
      <c r="Y62" s="11">
        <f>(Coordinates!H62-(Main!T67/2))/Coordinates!F62*SIGN(Coordinates!B62)</f>
        <v>-83.221129012386314</v>
      </c>
      <c r="Z62" s="11">
        <f>Y62*Coordinates!C62/Coordinates!B62</f>
        <v>-324.12521620981209</v>
      </c>
      <c r="AA62" s="12">
        <f>Y62*Coordinates!D62/Coordinates!B62</f>
        <v>31.076775210504906</v>
      </c>
    </row>
    <row r="63" spans="1:27" ht="15" customHeight="1" x14ac:dyDescent="0.45">
      <c r="A63" s="13">
        <v>61</v>
      </c>
      <c r="B63" s="11">
        <f>Main!B63+Main!C63+Main!T63</f>
        <v>393.327411241834</v>
      </c>
      <c r="C63" s="11">
        <f>Coordinates!T63</f>
        <v>194.25421527179265</v>
      </c>
      <c r="D63" s="11">
        <f>Coordinates!V63</f>
        <v>13.7691472530895</v>
      </c>
      <c r="E63" s="11">
        <f>Coordinates!Q63</f>
        <v>47.031877516234609</v>
      </c>
      <c r="F63" s="11">
        <f>-Coordinates!P63</f>
        <v>-185.13137093721838</v>
      </c>
      <c r="G63" s="11">
        <f>Coordinates!R63</f>
        <v>46.808023892861087</v>
      </c>
      <c r="H63" s="11">
        <f t="shared" si="5"/>
        <v>191.663705620917</v>
      </c>
      <c r="I63" s="11">
        <f t="shared" si="6"/>
        <v>140.62860253943452</v>
      </c>
      <c r="J63" s="11">
        <f>Main!C63</f>
        <v>89.070206162964965</v>
      </c>
      <c r="K63" s="11">
        <f t="shared" si="7"/>
        <v>92.070206162964965</v>
      </c>
      <c r="L63" s="11">
        <f>Main!R63</f>
        <v>4.0615317933915183</v>
      </c>
      <c r="M63" s="11">
        <f t="shared" si="8"/>
        <v>10.061531793391518</v>
      </c>
      <c r="N63" s="11">
        <f t="shared" si="9"/>
        <v>-44.535103081482482</v>
      </c>
      <c r="O63" s="11">
        <f>Main!D63</f>
        <v>2.2999999999999998</v>
      </c>
      <c r="P63" s="11">
        <f>O63+(2*Main!U63)</f>
        <v>6.3</v>
      </c>
      <c r="Q63" s="11">
        <f>Main!S63</f>
        <v>50</v>
      </c>
      <c r="R63" s="11">
        <f>Q63+(2*Main!U63)</f>
        <v>54</v>
      </c>
      <c r="S63" s="11">
        <v>25</v>
      </c>
      <c r="T63" s="11">
        <v>2</v>
      </c>
      <c r="U63" s="12">
        <f>Main!T63</f>
        <v>10</v>
      </c>
      <c r="V63" s="20">
        <f>(Coordinates!H63)/Coordinates!F63*SIGN(Coordinates!B63)</f>
        <v>370.26274187443676</v>
      </c>
      <c r="W63" s="11">
        <f>V63*Coordinates!C63/Coordinates!B63</f>
        <v>94.063755032469217</v>
      </c>
      <c r="X63" s="11">
        <f>V63*Coordinates!D63/Coordinates!B63</f>
        <v>93.616047785722174</v>
      </c>
      <c r="Y63" s="11">
        <f>(Coordinates!H63-(Main!T68/2))/Coordinates!F63*SIGN(Coordinates!B63)</f>
        <v>365.55594123848027</v>
      </c>
      <c r="Z63" s="11">
        <f>Y63*Coordinates!C63/Coordinates!B63</f>
        <v>92.868011329589649</v>
      </c>
      <c r="AA63" s="12">
        <f>Y63*Coordinates!D63/Coordinates!B63</f>
        <v>92.425995362346029</v>
      </c>
    </row>
    <row r="64" spans="1:27" ht="15" customHeight="1" x14ac:dyDescent="0.45">
      <c r="A64" s="13">
        <v>62</v>
      </c>
      <c r="B64" s="11">
        <f>Main!B64+Main!C64+Main!T64</f>
        <v>367.35254584914651</v>
      </c>
      <c r="C64" s="11">
        <f>Coordinates!T64</f>
        <v>203.82696836245557</v>
      </c>
      <c r="D64" s="11">
        <f>Coordinates!V64</f>
        <v>14.821919032253746</v>
      </c>
      <c r="E64" s="11">
        <f>Coordinates!Q64</f>
        <v>71.731802534957183</v>
      </c>
      <c r="F64" s="11">
        <f>-Coordinates!P64</f>
        <v>-162.43066029973915</v>
      </c>
      <c r="G64" s="11">
        <f>Coordinates!R64</f>
        <v>46.987257157009815</v>
      </c>
      <c r="H64" s="11">
        <f t="shared" si="5"/>
        <v>178.67627292457325</v>
      </c>
      <c r="I64" s="11">
        <f t="shared" si="6"/>
        <v>130.82586717939378</v>
      </c>
      <c r="J64" s="11">
        <f>Main!C64</f>
        <v>82.700811490358959</v>
      </c>
      <c r="K64" s="11">
        <f t="shared" si="7"/>
        <v>85.700811490358959</v>
      </c>
      <c r="L64" s="11">
        <f>Main!R64</f>
        <v>4.1972002471619154</v>
      </c>
      <c r="M64" s="11">
        <f t="shared" si="8"/>
        <v>10.197200247161916</v>
      </c>
      <c r="N64" s="11">
        <f t="shared" si="9"/>
        <v>-41.350405745179479</v>
      </c>
      <c r="O64" s="11">
        <f>Main!D64</f>
        <v>2.2999999999999998</v>
      </c>
      <c r="P64" s="11">
        <f>O64+(2*Main!U64)</f>
        <v>6.3</v>
      </c>
      <c r="Q64" s="11">
        <f>Main!S64</f>
        <v>50</v>
      </c>
      <c r="R64" s="11">
        <f>Q64+(2*Main!U64)</f>
        <v>54</v>
      </c>
      <c r="S64" s="11">
        <v>25</v>
      </c>
      <c r="T64" s="11">
        <v>2</v>
      </c>
      <c r="U64" s="12">
        <f>Main!T64</f>
        <v>10</v>
      </c>
      <c r="V64" s="20">
        <f>(Coordinates!H64)/Coordinates!F64*SIGN(Coordinates!B64)</f>
        <v>324.86132059947829</v>
      </c>
      <c r="W64" s="11">
        <f>V64*Coordinates!C64/Coordinates!B64</f>
        <v>143.46360506991437</v>
      </c>
      <c r="X64" s="11">
        <f>V64*Coordinates!D64/Coordinates!B64</f>
        <v>93.974514314019629</v>
      </c>
      <c r="Y64" s="11">
        <f>(Coordinates!H64-(Main!T69/2))/Coordinates!F64*SIGN(Coordinates!B64)</f>
        <v>320.43966455992984</v>
      </c>
      <c r="Z64" s="11">
        <f>Y64*Coordinates!C64/Coordinates!B64</f>
        <v>141.51093580586596</v>
      </c>
      <c r="AA64" s="12">
        <f>Y64*Coordinates!D64/Coordinates!B64</f>
        <v>92.695436281542769</v>
      </c>
    </row>
    <row r="65" spans="1:27" ht="15" customHeight="1" x14ac:dyDescent="0.45">
      <c r="A65" s="13">
        <v>63</v>
      </c>
      <c r="B65" s="11">
        <f>Main!B65+Main!C65+Main!T65</f>
        <v>339.24359492378557</v>
      </c>
      <c r="C65" s="11">
        <f>Coordinates!T65</f>
        <v>214.20866325954427</v>
      </c>
      <c r="D65" s="11">
        <f>Coordinates!V65</f>
        <v>16.16156770017561</v>
      </c>
      <c r="E65" s="11">
        <f>Coordinates!Q65</f>
        <v>91.594124118987665</v>
      </c>
      <c r="F65" s="11">
        <f>-Coordinates!P65</f>
        <v>-134.73283519835243</v>
      </c>
      <c r="G65" s="11">
        <f>Coordinates!R65</f>
        <v>47.213702677214918</v>
      </c>
      <c r="H65" s="11">
        <f t="shared" si="5"/>
        <v>164.62179746189278</v>
      </c>
      <c r="I65" s="11">
        <f t="shared" si="6"/>
        <v>120.2337596265987</v>
      </c>
      <c r="J65" s="11">
        <f>Main!C65</f>
        <v>75.776075670588156</v>
      </c>
      <c r="K65" s="11">
        <f t="shared" si="7"/>
        <v>78.776075670588156</v>
      </c>
      <c r="L65" s="11">
        <f>Main!R65</f>
        <v>4.3705743681168148</v>
      </c>
      <c r="M65" s="11">
        <f t="shared" si="8"/>
        <v>10.370574368116815</v>
      </c>
      <c r="N65" s="11">
        <f t="shared" si="9"/>
        <v>-37.888037835294078</v>
      </c>
      <c r="O65" s="11">
        <f>Main!D65</f>
        <v>2.2999999999999998</v>
      </c>
      <c r="P65" s="11">
        <f>O65+(2*Main!U65)</f>
        <v>6.3</v>
      </c>
      <c r="Q65" s="11">
        <f>Main!S65</f>
        <v>50</v>
      </c>
      <c r="R65" s="11">
        <f>Q65+(2*Main!U65)</f>
        <v>54</v>
      </c>
      <c r="S65" s="11">
        <v>25</v>
      </c>
      <c r="T65" s="11">
        <v>2</v>
      </c>
      <c r="U65" s="12">
        <f>Main!T65</f>
        <v>10</v>
      </c>
      <c r="V65" s="20">
        <f>(Coordinates!H65)/Coordinates!F65*SIGN(Coordinates!B65)</f>
        <v>269.46567039670487</v>
      </c>
      <c r="W65" s="11">
        <f>V65*Coordinates!C65/Coordinates!B65</f>
        <v>183.18824823797533</v>
      </c>
      <c r="X65" s="11">
        <f>V65*Coordinates!D65/Coordinates!B65</f>
        <v>94.427405354429837</v>
      </c>
      <c r="Y65" s="11">
        <f>(Coordinates!H65-(Main!T70/2))/Coordinates!F65*SIGN(Coordinates!B65)</f>
        <v>265.49410432399475</v>
      </c>
      <c r="Z65" s="11">
        <f>Y65*Coordinates!C65/Coordinates!B65</f>
        <v>180.48829677272911</v>
      </c>
      <c r="AA65" s="12">
        <f>Y65*Coordinates!D65/Coordinates!B65</f>
        <v>93.035670819609166</v>
      </c>
    </row>
    <row r="66" spans="1:27" ht="15" customHeight="1" x14ac:dyDescent="0.45">
      <c r="A66" s="13">
        <v>64</v>
      </c>
      <c r="B66" s="11">
        <f>Main!B66+Main!C66+Main!T66</f>
        <v>311.67367674994733</v>
      </c>
      <c r="C66" s="11">
        <f>Coordinates!T66</f>
        <v>225.62677044979472</v>
      </c>
      <c r="D66" s="11">
        <f>Coordinates!V66</f>
        <v>17.738160850228653</v>
      </c>
      <c r="E66" s="11">
        <f>Coordinates!Q66</f>
        <v>106.09637848841916</v>
      </c>
      <c r="F66" s="11">
        <f>-Coordinates!P66</f>
        <v>-103.80018473117315</v>
      </c>
      <c r="G66" s="11">
        <f>Coordinates!R66</f>
        <v>47.478419477949167</v>
      </c>
      <c r="H66" s="11">
        <f t="shared" si="5"/>
        <v>150.83683837497367</v>
      </c>
      <c r="I66" s="11">
        <f t="shared" si="6"/>
        <v>109.86554721679866</v>
      </c>
      <c r="J66" s="11">
        <f>Main!C66</f>
        <v>68.942582316349998</v>
      </c>
      <c r="K66" s="11">
        <f t="shared" si="7"/>
        <v>71.942582316349998</v>
      </c>
      <c r="L66" s="11">
        <f>Main!R66</f>
        <v>4.5758068341572775</v>
      </c>
      <c r="M66" s="11">
        <f t="shared" si="8"/>
        <v>10.575806834157277</v>
      </c>
      <c r="N66" s="11">
        <f t="shared" si="9"/>
        <v>-34.471291158174999</v>
      </c>
      <c r="O66" s="11">
        <f>Main!D66</f>
        <v>2.2999999999999998</v>
      </c>
      <c r="P66" s="11">
        <f>O66+(2*Main!U66)</f>
        <v>6.3</v>
      </c>
      <c r="Q66" s="11">
        <f>Main!S66</f>
        <v>50</v>
      </c>
      <c r="R66" s="11">
        <f>Q66+(2*Main!U66)</f>
        <v>54</v>
      </c>
      <c r="S66" s="11">
        <v>25</v>
      </c>
      <c r="T66" s="11">
        <v>2</v>
      </c>
      <c r="U66" s="12">
        <f>Main!T66</f>
        <v>10</v>
      </c>
      <c r="V66" s="20">
        <f>(Coordinates!H66)/Coordinates!F66*SIGN(Coordinates!B66)</f>
        <v>207.60036946234629</v>
      </c>
      <c r="W66" s="11">
        <f>V66*Coordinates!C66/Coordinates!B66</f>
        <v>212.19275697683833</v>
      </c>
      <c r="X66" s="11">
        <f>V66*Coordinates!D66/Coordinates!B66</f>
        <v>94.956838955898334</v>
      </c>
      <c r="Y66" s="11">
        <f>(Coordinates!H66-(Main!T71/2))/Coordinates!F66*SIGN(Coordinates!B66)</f>
        <v>204.26995716017259</v>
      </c>
      <c r="Z66" s="11">
        <f>Y66*Coordinates!C66/Coordinates!B66</f>
        <v>208.78867166572817</v>
      </c>
      <c r="AA66" s="12">
        <f>Y66*Coordinates!D66/Coordinates!B66</f>
        <v>93.433501471223906</v>
      </c>
    </row>
    <row r="67" spans="1:27" ht="15" customHeight="1" x14ac:dyDescent="0.45">
      <c r="A67" s="13">
        <v>65</v>
      </c>
      <c r="B67" s="11">
        <f>Main!B67+Main!C67+Main!T67</f>
        <v>287.20308869807468</v>
      </c>
      <c r="C67" s="11">
        <f>Coordinates!T67</f>
        <v>238.2838922870865</v>
      </c>
      <c r="D67" s="11">
        <f>Coordinates!V67</f>
        <v>19.442095667132492</v>
      </c>
      <c r="E67" s="11">
        <f>Coordinates!Q67</f>
        <v>115.19100282510489</v>
      </c>
      <c r="F67" s="11">
        <f>-Coordinates!P67</f>
        <v>-71.188157777788078</v>
      </c>
      <c r="G67" s="11">
        <f>Coordinates!R67</f>
        <v>47.798353525827352</v>
      </c>
      <c r="H67" s="11">
        <f t="shared" ref="H67:H82" si="10">(B67/2-5)</f>
        <v>138.60154434903734</v>
      </c>
      <c r="I67" s="11">
        <f t="shared" ref="I67:I98" si="11">(H67-5)-(K67/2)</f>
        <v>100.68542125361544</v>
      </c>
      <c r="J67" s="11">
        <f>Main!C67</f>
        <v>62.832246190843783</v>
      </c>
      <c r="K67" s="11">
        <f t="shared" ref="K67:K98" si="12">J67+3</f>
        <v>65.83224619084379</v>
      </c>
      <c r="L67" s="11">
        <f>Main!R67</f>
        <v>4.7971254333871682</v>
      </c>
      <c r="M67" s="11">
        <f t="shared" ref="M67:M98" si="13">L67+6</f>
        <v>10.797125433387169</v>
      </c>
      <c r="N67" s="11">
        <f t="shared" ref="N67:N82" si="14">-(J67/2)</f>
        <v>-31.416123095421892</v>
      </c>
      <c r="O67" s="11">
        <f>Main!D67</f>
        <v>2.2999999999999998</v>
      </c>
      <c r="P67" s="11">
        <f>O67+(2*Main!U67)</f>
        <v>6.3</v>
      </c>
      <c r="Q67" s="11">
        <f>Main!S67</f>
        <v>50</v>
      </c>
      <c r="R67" s="11">
        <f>Q67+(2*Main!U67)</f>
        <v>54</v>
      </c>
      <c r="S67" s="11">
        <v>25</v>
      </c>
      <c r="T67" s="11">
        <v>2</v>
      </c>
      <c r="U67" s="12">
        <f>Main!T67</f>
        <v>10</v>
      </c>
      <c r="V67" s="20">
        <f>(Coordinates!H67)/Coordinates!F67*SIGN(Coordinates!B67)</f>
        <v>142.37631555557616</v>
      </c>
      <c r="W67" s="11">
        <f>V67*Coordinates!C67/Coordinates!B67</f>
        <v>230.38200565020978</v>
      </c>
      <c r="X67" s="11">
        <f>V67*Coordinates!D67/Coordinates!B67</f>
        <v>95.596707051654704</v>
      </c>
      <c r="Y67" s="11">
        <f>(Coordinates!H67-(Main!T72/2))/Coordinates!F67*SIGN(Coordinates!B67)</f>
        <v>139.89764591102281</v>
      </c>
      <c r="Z67" s="11">
        <f>Y67*Coordinates!C67/Coordinates!B67</f>
        <v>226.37121999510836</v>
      </c>
      <c r="AA67" s="12">
        <f>Y67*Coordinates!D67/Coordinates!B67</f>
        <v>93.932436874669406</v>
      </c>
    </row>
    <row r="68" spans="1:27" ht="15" customHeight="1" x14ac:dyDescent="0.45">
      <c r="A68" s="13">
        <v>66</v>
      </c>
      <c r="B68" s="11">
        <f>Main!B68+Main!C68+Main!T68</f>
        <v>267.91637862399017</v>
      </c>
      <c r="C68" s="11">
        <f>Coordinates!T68</f>
        <v>252.29800500153047</v>
      </c>
      <c r="D68" s="11">
        <f>Coordinates!V68</f>
        <v>21.042322984019791</v>
      </c>
      <c r="E68" s="11">
        <f>Coordinates!Q68</f>
        <v>119.10541462781259</v>
      </c>
      <c r="F68" s="11">
        <f>-Coordinates!P68</f>
        <v>-38.015956124359796</v>
      </c>
      <c r="G68" s="11">
        <f>Coordinates!R68</f>
        <v>48.098687820312797</v>
      </c>
      <c r="H68" s="11">
        <f t="shared" si="10"/>
        <v>128.95818931199508</v>
      </c>
      <c r="I68" s="11">
        <f t="shared" si="11"/>
        <v>93.469374087084304</v>
      </c>
      <c r="J68" s="11">
        <f>Main!C68</f>
        <v>57.977630449821568</v>
      </c>
      <c r="K68" s="11">
        <f t="shared" si="12"/>
        <v>60.977630449821568</v>
      </c>
      <c r="L68" s="11">
        <f>Main!R68</f>
        <v>5.0062161523795572</v>
      </c>
      <c r="M68" s="11">
        <f t="shared" si="13"/>
        <v>11.006216152379558</v>
      </c>
      <c r="N68" s="11">
        <f t="shared" si="14"/>
        <v>-28.988815224910784</v>
      </c>
      <c r="O68" s="11">
        <f>Main!D68</f>
        <v>2.2999999999999998</v>
      </c>
      <c r="P68" s="11">
        <f>O68+(2*Main!U68)</f>
        <v>6.3</v>
      </c>
      <c r="Q68" s="11">
        <f>Main!S68</f>
        <v>50</v>
      </c>
      <c r="R68" s="11">
        <f>Q68+(2*Main!U68)</f>
        <v>54</v>
      </c>
      <c r="S68" s="11">
        <v>25</v>
      </c>
      <c r="T68" s="11">
        <v>2</v>
      </c>
      <c r="U68" s="12">
        <f>Main!T68</f>
        <v>10</v>
      </c>
      <c r="V68" s="20">
        <f>(Coordinates!H68)/Coordinates!F68*SIGN(Coordinates!B68)</f>
        <v>76.031912248719593</v>
      </c>
      <c r="W68" s="11">
        <f>V68*Coordinates!C68/Coordinates!B68</f>
        <v>238.21082925562519</v>
      </c>
      <c r="X68" s="11">
        <f>V68*Coordinates!D68/Coordinates!B68</f>
        <v>96.197375640625594</v>
      </c>
      <c r="Y68" s="11">
        <f>(Coordinates!H68-(Main!T73/2))/Coordinates!F68*SIGN(Coordinates!B68)</f>
        <v>74.612963682767472</v>
      </c>
      <c r="Z68" s="11">
        <f>Y68*Coordinates!C68/Coordinates!B68</f>
        <v>233.7652102442182</v>
      </c>
      <c r="AA68" s="12">
        <f>Y68*Coordinates!D68/Coordinates!B68</f>
        <v>94.402088317493451</v>
      </c>
    </row>
    <row r="69" spans="1:27" ht="15" customHeight="1" x14ac:dyDescent="0.45">
      <c r="A69" s="13">
        <v>67</v>
      </c>
      <c r="B69" s="11">
        <f>Main!B69+Main!C69+Main!T69</f>
        <v>255.37159051334103</v>
      </c>
      <c r="C69" s="11">
        <f>Coordinates!T69</f>
        <v>267.61151444724294</v>
      </c>
      <c r="D69" s="11">
        <f>Coordinates!V69</f>
        <v>22.238095974166399</v>
      </c>
      <c r="E69" s="11">
        <f>Coordinates!Q69</f>
        <v>118.08573866502545</v>
      </c>
      <c r="F69" s="11">
        <f>-Coordinates!P69</f>
        <v>-4.9254862538864836</v>
      </c>
      <c r="G69" s="11">
        <f>Coordinates!R69</f>
        <v>48.323495521603938</v>
      </c>
      <c r="H69" s="11">
        <f t="shared" si="10"/>
        <v>122.68579525667052</v>
      </c>
      <c r="I69" s="11">
        <f t="shared" si="11"/>
        <v>88.787219666823063</v>
      </c>
      <c r="J69" s="11">
        <f>Main!C69</f>
        <v>54.797151179694914</v>
      </c>
      <c r="K69" s="11">
        <f t="shared" si="12"/>
        <v>57.797151179694914</v>
      </c>
      <c r="L69" s="11">
        <f>Main!R69</f>
        <v>5.1632875363443951</v>
      </c>
      <c r="M69" s="11">
        <f t="shared" si="13"/>
        <v>11.163287536344395</v>
      </c>
      <c r="N69" s="11">
        <f t="shared" si="14"/>
        <v>-27.398575589847457</v>
      </c>
      <c r="O69" s="11">
        <f>Main!D69</f>
        <v>2.2999999999999998</v>
      </c>
      <c r="P69" s="11">
        <f>O69+(2*Main!U69)</f>
        <v>6.3</v>
      </c>
      <c r="Q69" s="11">
        <f>Main!S69</f>
        <v>50</v>
      </c>
      <c r="R69" s="11">
        <f>Q69+(2*Main!U69)</f>
        <v>54</v>
      </c>
      <c r="S69" s="11">
        <v>25</v>
      </c>
      <c r="T69" s="11">
        <v>2</v>
      </c>
      <c r="U69" s="12">
        <f>Main!T69</f>
        <v>10</v>
      </c>
      <c r="V69" s="20">
        <f>(Coordinates!H69)/Coordinates!F69*SIGN(Coordinates!B69)</f>
        <v>9.8509725077729673</v>
      </c>
      <c r="W69" s="11">
        <f>V69*Coordinates!C69/Coordinates!B69</f>
        <v>236.17147733005089</v>
      </c>
      <c r="X69" s="11">
        <f>V69*Coordinates!D69/Coordinates!B69</f>
        <v>96.646991043207876</v>
      </c>
      <c r="Y69" s="11">
        <f>(Coordinates!H69-(Main!T74/2))/Coordinates!F69*SIGN(Coordinates!B69)</f>
        <v>9.6580972453373377</v>
      </c>
      <c r="Z69" s="11">
        <f>Y69*Coordinates!C69/Coordinates!B69</f>
        <v>231.54740233299844</v>
      </c>
      <c r="AA69" s="12">
        <f>Y69*Coordinates!D69/Coordinates!B69</f>
        <v>94.754709469346622</v>
      </c>
    </row>
    <row r="70" spans="1:27" ht="15" customHeight="1" x14ac:dyDescent="0.45">
      <c r="A70" s="13">
        <v>68</v>
      </c>
      <c r="B70" s="11">
        <f>Main!B70+Main!C70+Main!T70</f>
        <v>250.56026094472099</v>
      </c>
      <c r="C70" s="11">
        <f>Coordinates!T70</f>
        <v>-75.987502531244289</v>
      </c>
      <c r="D70" s="11">
        <f>Coordinates!V70</f>
        <v>22.735081474040427</v>
      </c>
      <c r="E70" s="11">
        <f>Coordinates!Q70</f>
        <v>112.10775678204826</v>
      </c>
      <c r="F70" s="11">
        <f>-Coordinates!P70</f>
        <v>27.977577798034911</v>
      </c>
      <c r="G70" s="11">
        <f>Coordinates!R70</f>
        <v>48.417115785883809</v>
      </c>
      <c r="H70" s="11">
        <f t="shared" si="10"/>
        <v>120.2801304723605</v>
      </c>
      <c r="I70" s="11">
        <f t="shared" si="11"/>
        <v>86.994249396232917</v>
      </c>
      <c r="J70" s="11">
        <f>Main!C70</f>
        <v>53.571762152255161</v>
      </c>
      <c r="K70" s="11">
        <f t="shared" si="12"/>
        <v>56.571762152255161</v>
      </c>
      <c r="L70" s="11">
        <f>Main!R70</f>
        <v>5.2287817629384268</v>
      </c>
      <c r="M70" s="11">
        <f t="shared" si="13"/>
        <v>11.228781762938427</v>
      </c>
      <c r="N70" s="11">
        <f t="shared" si="14"/>
        <v>-26.785881076127581</v>
      </c>
      <c r="O70" s="11">
        <f>Main!D70</f>
        <v>2.2999999999999998</v>
      </c>
      <c r="P70" s="11">
        <f>O70+(2*Main!U70)</f>
        <v>6.3</v>
      </c>
      <c r="Q70" s="11">
        <f>Main!S70</f>
        <v>50</v>
      </c>
      <c r="R70" s="11">
        <f>Q70+(2*Main!U70)</f>
        <v>54</v>
      </c>
      <c r="S70" s="11">
        <v>25</v>
      </c>
      <c r="T70" s="11">
        <v>2</v>
      </c>
      <c r="U70" s="12">
        <f>Main!T70</f>
        <v>10</v>
      </c>
      <c r="V70" s="20">
        <f>(Coordinates!H70)/Coordinates!F70*SIGN(Coordinates!B70)</f>
        <v>-55.955155596069822</v>
      </c>
      <c r="W70" s="11">
        <f>V70*Coordinates!C70/Coordinates!B70</f>
        <v>224.21551356409651</v>
      </c>
      <c r="X70" s="11">
        <f>V70*Coordinates!D70/Coordinates!B70</f>
        <v>96.834231571767617</v>
      </c>
      <c r="Y70" s="11">
        <f>(Coordinates!H70-(Main!T75/2))/Coordinates!F70*SIGN(Coordinates!B70)</f>
        <v>-54.838554835336765</v>
      </c>
      <c r="Z70" s="11">
        <f>Y70*Coordinates!C70/Coordinates!B70</f>
        <v>219.74123035736</v>
      </c>
      <c r="AA70" s="12">
        <f>Y70*Coordinates!D70/Coordinates!B70</f>
        <v>94.901877430559026</v>
      </c>
    </row>
    <row r="71" spans="1:27" ht="15" customHeight="1" x14ac:dyDescent="0.45">
      <c r="A71" s="13">
        <v>69</v>
      </c>
      <c r="B71" s="11">
        <f>Main!B71+Main!C71+Main!T71</f>
        <v>253.84034819094646</v>
      </c>
      <c r="C71" s="11">
        <f>Coordinates!T71</f>
        <v>-59.436047949223919</v>
      </c>
      <c r="D71" s="11">
        <f>Coordinates!V71</f>
        <v>22.393804076645409</v>
      </c>
      <c r="E71" s="11">
        <f>Coordinates!Q71</f>
        <v>101.04458364628653</v>
      </c>
      <c r="F71" s="11">
        <f>-Coordinates!P71</f>
        <v>59.671824649138493</v>
      </c>
      <c r="G71" s="11">
        <f>Coordinates!R71</f>
        <v>48.352828781947267</v>
      </c>
      <c r="H71" s="11">
        <f t="shared" si="10"/>
        <v>121.92017409547323</v>
      </c>
      <c r="I71" s="11">
        <f t="shared" si="11"/>
        <v>88.216415056921363</v>
      </c>
      <c r="J71" s="11">
        <f>Main!C71</f>
        <v>54.407518077103731</v>
      </c>
      <c r="K71" s="11">
        <f t="shared" si="12"/>
        <v>57.407518077103731</v>
      </c>
      <c r="L71" s="11">
        <f>Main!R71</f>
        <v>5.1837926364817601</v>
      </c>
      <c r="M71" s="11">
        <f t="shared" si="13"/>
        <v>11.18379263648176</v>
      </c>
      <c r="N71" s="11">
        <f t="shared" si="14"/>
        <v>-27.203759038551866</v>
      </c>
      <c r="O71" s="11">
        <f>Main!D71</f>
        <v>2.2999999999999998</v>
      </c>
      <c r="P71" s="11">
        <f>O71+(2*Main!U71)</f>
        <v>6.3</v>
      </c>
      <c r="Q71" s="11">
        <f>Main!S71</f>
        <v>50</v>
      </c>
      <c r="R71" s="11">
        <f>Q71+(2*Main!U71)</f>
        <v>54</v>
      </c>
      <c r="S71" s="11">
        <v>25</v>
      </c>
      <c r="T71" s="11">
        <v>2</v>
      </c>
      <c r="U71" s="12">
        <f>Main!T71</f>
        <v>10</v>
      </c>
      <c r="V71" s="20">
        <f>(Coordinates!H71)/Coordinates!F71*SIGN(Coordinates!B71)</f>
        <v>-119.34364929827699</v>
      </c>
      <c r="W71" s="11">
        <f>V71*Coordinates!C71/Coordinates!B71</f>
        <v>202.08916729257305</v>
      </c>
      <c r="X71" s="11">
        <f>V71*Coordinates!D71/Coordinates!B71</f>
        <v>96.705657563894533</v>
      </c>
      <c r="Y71" s="11">
        <f>(Coordinates!H71-(Main!T76/2))/Coordinates!F71*SIGN(Coordinates!B71)</f>
        <v>-116.99288729080246</v>
      </c>
      <c r="Z71" s="11">
        <f>Y71*Coordinates!C71/Coordinates!B71</f>
        <v>198.10853204816038</v>
      </c>
      <c r="AA71" s="12">
        <f>Y71*Coordinates!D71/Coordinates!B71</f>
        <v>94.800805591915093</v>
      </c>
    </row>
    <row r="72" spans="1:27" ht="15" customHeight="1" x14ac:dyDescent="0.45">
      <c r="A72" s="13">
        <v>70</v>
      </c>
      <c r="B72" s="11">
        <f>Main!B72+Main!C72+Main!T72</f>
        <v>263.96928691932123</v>
      </c>
      <c r="C72" s="11">
        <f>Coordinates!T72</f>
        <v>-43.805719183485337</v>
      </c>
      <c r="D72" s="11">
        <f>Coordinates!V72</f>
        <v>21.403948484880758</v>
      </c>
      <c r="E72" s="11">
        <f>Coordinates!Q72</f>
        <v>85.060617634734854</v>
      </c>
      <c r="F72" s="11">
        <f>-Coordinates!P72</f>
        <v>88.682670322170367</v>
      </c>
      <c r="G72" s="11">
        <f>Coordinates!R72</f>
        <v>48.16660068242733</v>
      </c>
      <c r="H72" s="11">
        <f t="shared" si="10"/>
        <v>126.98464345966062</v>
      </c>
      <c r="I72" s="11">
        <f t="shared" si="11"/>
        <v>91.995113698650059</v>
      </c>
      <c r="J72" s="11">
        <f>Main!C72</f>
        <v>56.979059522021117</v>
      </c>
      <c r="K72" s="11">
        <f t="shared" si="12"/>
        <v>59.979059522021117</v>
      </c>
      <c r="L72" s="11">
        <f>Main!R72</f>
        <v>5.0536432035941496</v>
      </c>
      <c r="M72" s="11">
        <f t="shared" si="13"/>
        <v>11.053643203594149</v>
      </c>
      <c r="N72" s="11">
        <f t="shared" si="14"/>
        <v>-28.489529761010559</v>
      </c>
      <c r="O72" s="11">
        <f>Main!D72</f>
        <v>2.2999999999999998</v>
      </c>
      <c r="P72" s="11">
        <f>O72+(2*Main!U72)</f>
        <v>6.3</v>
      </c>
      <c r="Q72" s="11">
        <f>Main!S72</f>
        <v>50</v>
      </c>
      <c r="R72" s="11">
        <f>Q72+(2*Main!U72)</f>
        <v>54</v>
      </c>
      <c r="S72" s="11">
        <v>25</v>
      </c>
      <c r="T72" s="11">
        <v>2</v>
      </c>
      <c r="U72" s="12">
        <f>Main!T72</f>
        <v>10</v>
      </c>
      <c r="V72" s="20">
        <f>(Coordinates!H72)/Coordinates!F72*SIGN(Coordinates!B72)</f>
        <v>-177.36534064434073</v>
      </c>
      <c r="W72" s="11">
        <f>V72*Coordinates!C72/Coordinates!B72</f>
        <v>170.12123526946971</v>
      </c>
      <c r="X72" s="11">
        <f>V72*Coordinates!D72/Coordinates!B72</f>
        <v>96.333201364854659</v>
      </c>
      <c r="Y72" s="11">
        <f>(Coordinates!H72-(Main!T77/2))/Coordinates!F72*SIGN(Coordinates!B72)</f>
        <v>-174.00575774145267</v>
      </c>
      <c r="Z72" s="11">
        <f>Y72*Coordinates!C72/Coordinates!B72</f>
        <v>166.89886729524653</v>
      </c>
      <c r="AA72" s="12">
        <f>Y72*Coordinates!D72/Coordinates!B72</f>
        <v>94.508496633309534</v>
      </c>
    </row>
    <row r="73" spans="1:27" ht="15" customHeight="1" x14ac:dyDescent="0.45">
      <c r="A73" s="13">
        <v>71</v>
      </c>
      <c r="B73" s="11">
        <f>Main!B73+Main!C73+Main!T73</f>
        <v>278.87814366327166</v>
      </c>
      <c r="C73" s="11">
        <f>Coordinates!T73</f>
        <v>-29.272683834126891</v>
      </c>
      <c r="D73" s="11">
        <f>Coordinates!V73</f>
        <v>20.101064968042451</v>
      </c>
      <c r="E73" s="11">
        <f>Coordinates!Q73</f>
        <v>64.027999615361679</v>
      </c>
      <c r="F73" s="11">
        <f>-Coordinates!P73</f>
        <v>114.22412071582298</v>
      </c>
      <c r="G73" s="11">
        <f>Coordinates!R73</f>
        <v>47.922022758022663</v>
      </c>
      <c r="H73" s="11">
        <f t="shared" si="10"/>
        <v>134.43907183163583</v>
      </c>
      <c r="I73" s="11">
        <f t="shared" si="11"/>
        <v>97.5683095620833</v>
      </c>
      <c r="J73" s="11">
        <f>Main!C73</f>
        <v>60.741524539105065</v>
      </c>
      <c r="K73" s="11">
        <f t="shared" si="12"/>
        <v>63.741524539105065</v>
      </c>
      <c r="L73" s="11">
        <f>Main!R73</f>
        <v>4.8830764240859414</v>
      </c>
      <c r="M73" s="11">
        <f t="shared" si="13"/>
        <v>10.883076424085942</v>
      </c>
      <c r="N73" s="11">
        <f t="shared" si="14"/>
        <v>-30.370762269552532</v>
      </c>
      <c r="O73" s="11">
        <f>Main!D73</f>
        <v>2.2999999999999998</v>
      </c>
      <c r="P73" s="11">
        <f>O73+(2*Main!U73)</f>
        <v>6.3</v>
      </c>
      <c r="Q73" s="11">
        <f>Main!S73</f>
        <v>50</v>
      </c>
      <c r="R73" s="11">
        <f>Q73+(2*Main!U73)</f>
        <v>54</v>
      </c>
      <c r="S73" s="11">
        <v>25</v>
      </c>
      <c r="T73" s="11">
        <v>2</v>
      </c>
      <c r="U73" s="12">
        <f>Main!T73</f>
        <v>10</v>
      </c>
      <c r="V73" s="20">
        <f>(Coordinates!H73)/Coordinates!F73*SIGN(Coordinates!B73)</f>
        <v>-228.44824143164595</v>
      </c>
      <c r="W73" s="11">
        <f>V73*Coordinates!C73/Coordinates!B73</f>
        <v>128.05599923072336</v>
      </c>
      <c r="X73" s="11">
        <f>V73*Coordinates!D73/Coordinates!B73</f>
        <v>95.844045516045327</v>
      </c>
      <c r="Y73" s="11">
        <f>(Coordinates!H73-(Main!T78/2))/Coordinates!F73*SIGN(Coordinates!B73)</f>
        <v>-224.35239802077825</v>
      </c>
      <c r="Z73" s="11">
        <f>Y73*Coordinates!C73/Coordinates!B73</f>
        <v>125.76008608477702</v>
      </c>
      <c r="AA73" s="12">
        <f>Y73*Coordinates!D73/Coordinates!B73</f>
        <v>94.12565976775646</v>
      </c>
    </row>
    <row r="74" spans="1:27" ht="15" customHeight="1" x14ac:dyDescent="0.45">
      <c r="A74" s="13">
        <v>72</v>
      </c>
      <c r="B74" s="11">
        <f>Main!B74+Main!C74+Main!T74</f>
        <v>295.97690366740034</v>
      </c>
      <c r="C74" s="11">
        <f>Coordinates!T74</f>
        <v>-15.80723941078455</v>
      </c>
      <c r="D74" s="11">
        <f>Coordinates!V74</f>
        <v>18.793914488381077</v>
      </c>
      <c r="E74" s="11">
        <f>Coordinates!Q74</f>
        <v>38.163011309287391</v>
      </c>
      <c r="F74" s="11">
        <f>-Coordinates!P74</f>
        <v>134.8002102239324</v>
      </c>
      <c r="G74" s="11">
        <f>Coordinates!R74</f>
        <v>47.676721442714879</v>
      </c>
      <c r="H74" s="11">
        <f t="shared" si="10"/>
        <v>142.98845183370017</v>
      </c>
      <c r="I74" s="11">
        <f t="shared" si="11"/>
        <v>103.97408527653397</v>
      </c>
      <c r="J74" s="11">
        <f>Main!C74</f>
        <v>65.028733114332397</v>
      </c>
      <c r="K74" s="11">
        <f t="shared" si="12"/>
        <v>68.028733114332397</v>
      </c>
      <c r="L74" s="11">
        <f>Main!R74</f>
        <v>4.712779589664482</v>
      </c>
      <c r="M74" s="11">
        <f t="shared" si="13"/>
        <v>10.712779589664482</v>
      </c>
      <c r="N74" s="11">
        <f t="shared" si="14"/>
        <v>-32.514366557166198</v>
      </c>
      <c r="O74" s="11">
        <f>Main!D74</f>
        <v>2.2999999999999998</v>
      </c>
      <c r="P74" s="11">
        <f>O74+(2*Main!U74)</f>
        <v>6.3</v>
      </c>
      <c r="Q74" s="11">
        <f>Main!S74</f>
        <v>50</v>
      </c>
      <c r="R74" s="11">
        <f>Q74+(2*Main!U74)</f>
        <v>54</v>
      </c>
      <c r="S74" s="11">
        <v>25</v>
      </c>
      <c r="T74" s="11">
        <v>2</v>
      </c>
      <c r="U74" s="12">
        <f>Main!T74</f>
        <v>10</v>
      </c>
      <c r="V74" s="20">
        <f>(Coordinates!H74)/Coordinates!F74*SIGN(Coordinates!B74)</f>
        <v>-269.60042044786479</v>
      </c>
      <c r="W74" s="11">
        <f>V74*Coordinates!C74/Coordinates!B74</f>
        <v>76.326022618574783</v>
      </c>
      <c r="X74" s="11">
        <f>V74*Coordinates!D74/Coordinates!B74</f>
        <v>95.353442885429757</v>
      </c>
      <c r="Y74" s="11">
        <f>(Coordinates!H74-(Main!T79/2))/Coordinates!F74*SIGN(Coordinates!B74)</f>
        <v>-265.04600391895173</v>
      </c>
      <c r="Z74" s="11">
        <f>Y74*Coordinates!C74/Coordinates!B74</f>
        <v>75.036631087127034</v>
      </c>
      <c r="AA74" s="12">
        <f>Y74*Coordinates!D74/Coordinates!B74</f>
        <v>93.742617146935956</v>
      </c>
    </row>
    <row r="75" spans="1:27" ht="15" customHeight="1" x14ac:dyDescent="0.45">
      <c r="A75" s="13">
        <v>73</v>
      </c>
      <c r="B75" s="11">
        <f>Main!B75+Main!C75+Main!T75</f>
        <v>312.47537742906678</v>
      </c>
      <c r="C75" s="11">
        <f>Coordinates!T75</f>
        <v>-3.239493319287543</v>
      </c>
      <c r="D75" s="11">
        <f>Coordinates!V75</f>
        <v>17.687482368956211</v>
      </c>
      <c r="E75" s="11">
        <f>Coordinates!Q75</f>
        <v>8.4115827893264701</v>
      </c>
      <c r="F75" s="11">
        <f>-Coordinates!P75</f>
        <v>148.61414415090175</v>
      </c>
      <c r="G75" s="11">
        <f>Coordinates!R75</f>
        <v>47.468903591011419</v>
      </c>
      <c r="H75" s="11">
        <f t="shared" si="10"/>
        <v>151.23768871453339</v>
      </c>
      <c r="I75" s="11">
        <f t="shared" si="11"/>
        <v>110.1666966086446</v>
      </c>
      <c r="J75" s="11">
        <f>Main!C75</f>
        <v>69.141984211777583</v>
      </c>
      <c r="K75" s="11">
        <f t="shared" si="12"/>
        <v>72.141984211777583</v>
      </c>
      <c r="L75" s="11">
        <f>Main!R75</f>
        <v>4.5692435253148815</v>
      </c>
      <c r="M75" s="11">
        <f t="shared" si="13"/>
        <v>10.569243525314882</v>
      </c>
      <c r="N75" s="11">
        <f t="shared" si="14"/>
        <v>-34.570992105888791</v>
      </c>
      <c r="O75" s="11">
        <f>Main!D75</f>
        <v>2.2999999999999998</v>
      </c>
      <c r="P75" s="11">
        <f>O75+(2*Main!U75)</f>
        <v>6.3</v>
      </c>
      <c r="Q75" s="11">
        <f>Main!S75</f>
        <v>50</v>
      </c>
      <c r="R75" s="11">
        <f>Q75+(2*Main!U75)</f>
        <v>54</v>
      </c>
      <c r="S75" s="11">
        <v>25</v>
      </c>
      <c r="T75" s="11">
        <v>2</v>
      </c>
      <c r="U75" s="12">
        <f>Main!T75</f>
        <v>10</v>
      </c>
      <c r="V75" s="20">
        <f>(Coordinates!H75)/Coordinates!F75*SIGN(Coordinates!B75)</f>
        <v>-297.2282883018035</v>
      </c>
      <c r="W75" s="11">
        <f>V75*Coordinates!C75/Coordinates!B75</f>
        <v>16.82316557865294</v>
      </c>
      <c r="X75" s="11">
        <f>V75*Coordinates!D75/Coordinates!B75</f>
        <v>94.937807182022837</v>
      </c>
      <c r="Y75" s="11">
        <f>(Coordinates!H75-(Main!T80/2))/Coordinates!F75*SIGN(Coordinates!B75)</f>
        <v>-292.47226095098807</v>
      </c>
      <c r="Z75" s="11">
        <f>Y75*Coordinates!C75/Coordinates!B75</f>
        <v>16.5539737191684</v>
      </c>
      <c r="AA75" s="12">
        <f>Y75*Coordinates!D75/Coordinates!B75</f>
        <v>93.418682571899367</v>
      </c>
    </row>
    <row r="76" spans="1:27" ht="15" customHeight="1" x14ac:dyDescent="0.45">
      <c r="A76" s="13">
        <v>74</v>
      </c>
      <c r="B76" s="11">
        <f>Main!B76+Main!C76+Main!T76</f>
        <v>326.09553297462196</v>
      </c>
      <c r="C76" s="11">
        <f>Coordinates!T76</f>
        <v>8.6638982069119823</v>
      </c>
      <c r="D76" s="11">
        <f>Coordinates!V76</f>
        <v>16.876335719996291</v>
      </c>
      <c r="E76" s="11">
        <f>Coordinates!Q76</f>
        <v>-23.503418083351697</v>
      </c>
      <c r="F76" s="11">
        <f>-Coordinates!P76</f>
        <v>154.24546952445661</v>
      </c>
      <c r="G76" s="11">
        <f>Coordinates!R76</f>
        <v>47.333905671091635</v>
      </c>
      <c r="H76" s="11">
        <f t="shared" si="10"/>
        <v>158.04776648731098</v>
      </c>
      <c r="I76" s="11">
        <f t="shared" si="11"/>
        <v>115.2862528252368</v>
      </c>
      <c r="J76" s="11">
        <f>Main!C76</f>
        <v>72.523027324148345</v>
      </c>
      <c r="K76" s="11">
        <f t="shared" si="12"/>
        <v>75.523027324148345</v>
      </c>
      <c r="L76" s="11">
        <f>Main!R76</f>
        <v>4.4634507795533818</v>
      </c>
      <c r="M76" s="11">
        <f t="shared" si="13"/>
        <v>10.463450779553382</v>
      </c>
      <c r="N76" s="11">
        <f t="shared" si="14"/>
        <v>-36.261513662074172</v>
      </c>
      <c r="O76" s="11">
        <f>Main!D76</f>
        <v>2.2999999999999998</v>
      </c>
      <c r="P76" s="11">
        <f>O76+(2*Main!U76)</f>
        <v>6.3</v>
      </c>
      <c r="Q76" s="11">
        <f>Main!S76</f>
        <v>50</v>
      </c>
      <c r="R76" s="11">
        <f>Q76+(2*Main!U76)</f>
        <v>54</v>
      </c>
      <c r="S76" s="11">
        <v>25</v>
      </c>
      <c r="T76" s="11">
        <v>2</v>
      </c>
      <c r="U76" s="12">
        <f>Main!T76</f>
        <v>10</v>
      </c>
      <c r="V76" s="20">
        <f>(Coordinates!H76)/Coordinates!F76*SIGN(Coordinates!B76)</f>
        <v>-308.49093904891322</v>
      </c>
      <c r="W76" s="11">
        <f>V76*Coordinates!C76/Coordinates!B76</f>
        <v>-47.006836166703394</v>
      </c>
      <c r="X76" s="11">
        <f>V76*Coordinates!D76/Coordinates!B76</f>
        <v>94.667811342183271</v>
      </c>
      <c r="Y76" s="11">
        <f>(Coordinates!H76-(Main!T81/2))/Coordinates!F76*SIGN(Coordinates!B76)</f>
        <v>-303.76086905631195</v>
      </c>
      <c r="Z76" s="11">
        <f>Y76*Coordinates!C76/Coordinates!B76</f>
        <v>-46.286083635414329</v>
      </c>
      <c r="AA76" s="12">
        <f>Y76*Coordinates!D76/Coordinates!B76</f>
        <v>93.21627641193399</v>
      </c>
    </row>
    <row r="77" spans="1:27" ht="15" customHeight="1" x14ac:dyDescent="0.45">
      <c r="A77" s="13">
        <v>75</v>
      </c>
      <c r="B77" s="11">
        <f>Main!B77+Main!C77+Main!T77</f>
        <v>335.71156704736325</v>
      </c>
      <c r="C77" s="11">
        <f>Coordinates!T77</f>
        <v>20.157895203759942</v>
      </c>
      <c r="D77" s="11">
        <f>Coordinates!V77</f>
        <v>16.347495951258296</v>
      </c>
      <c r="E77" s="11">
        <f>Coordinates!Q77</f>
        <v>-55.505998519896472</v>
      </c>
      <c r="F77" s="11">
        <f>-Coordinates!P77</f>
        <v>151.20367663941269</v>
      </c>
      <c r="G77" s="11">
        <f>Coordinates!R77</f>
        <v>47.245067058712436</v>
      </c>
      <c r="H77" s="11">
        <f t="shared" si="10"/>
        <v>162.85578352368162</v>
      </c>
      <c r="I77" s="11">
        <f t="shared" si="11"/>
        <v>118.90420460341433</v>
      </c>
      <c r="J77" s="11">
        <f>Main!C77</f>
        <v>74.90315784053459</v>
      </c>
      <c r="K77" s="11">
        <f t="shared" si="12"/>
        <v>77.90315784053459</v>
      </c>
      <c r="L77" s="11">
        <f>Main!R77</f>
        <v>4.3947047430768258</v>
      </c>
      <c r="M77" s="11">
        <f t="shared" si="13"/>
        <v>10.394704743076826</v>
      </c>
      <c r="N77" s="11">
        <f t="shared" si="14"/>
        <v>-37.451578920267295</v>
      </c>
      <c r="O77" s="11">
        <f>Main!D77</f>
        <v>2.2999999999999998</v>
      </c>
      <c r="P77" s="11">
        <f>O77+(2*Main!U77)</f>
        <v>6.3</v>
      </c>
      <c r="Q77" s="11">
        <f>Main!S77</f>
        <v>50</v>
      </c>
      <c r="R77" s="11">
        <f>Q77+(2*Main!U77)</f>
        <v>54</v>
      </c>
      <c r="S77" s="11">
        <v>25</v>
      </c>
      <c r="T77" s="11">
        <v>2</v>
      </c>
      <c r="U77" s="12">
        <f>Main!T77</f>
        <v>10</v>
      </c>
      <c r="V77" s="20">
        <f>(Coordinates!H77)/Coordinates!F77*SIGN(Coordinates!B77)</f>
        <v>-302.40735327882538</v>
      </c>
      <c r="W77" s="11">
        <f>V77*Coordinates!C77/Coordinates!B77</f>
        <v>-111.01199703979294</v>
      </c>
      <c r="X77" s="11">
        <f>V77*Coordinates!D77/Coordinates!B77</f>
        <v>94.490134117424873</v>
      </c>
      <c r="Y77" s="11">
        <f>(Coordinates!H77-(Main!T82/2))/Coordinates!F77*SIGN(Coordinates!B77)</f>
        <v>-297.90337750077066</v>
      </c>
      <c r="Z77" s="11">
        <f>Y77*Coordinates!C77/Coordinates!B77</f>
        <v>-109.3586134817559</v>
      </c>
      <c r="AA77" s="12">
        <f>Y77*Coordinates!D77/Coordinates!B77</f>
        <v>93.082822850963623</v>
      </c>
    </row>
    <row r="78" spans="1:27" ht="15" customHeight="1" x14ac:dyDescent="0.45">
      <c r="A78" s="13">
        <v>76</v>
      </c>
      <c r="B78" s="11">
        <f>Main!B78+Main!C78+Main!T78</f>
        <v>341.49709368731715</v>
      </c>
      <c r="C78" s="11">
        <f>Coordinates!T78</f>
        <v>31.43690893995597</v>
      </c>
      <c r="D78" s="11">
        <f>Coordinates!V78</f>
        <v>16.045193909560112</v>
      </c>
      <c r="E78" s="11">
        <f>Coordinates!Q78</f>
        <v>-85.586255793291642</v>
      </c>
      <c r="F78" s="11">
        <f>-Coordinates!P78</f>
        <v>140.00990401312455</v>
      </c>
      <c r="G78" s="11">
        <f>Coordinates!R78</f>
        <v>47.19412936734787</v>
      </c>
      <c r="H78" s="11">
        <f t="shared" si="10"/>
        <v>165.74854684365857</v>
      </c>
      <c r="I78" s="11">
        <f t="shared" si="11"/>
        <v>121.08221627022516</v>
      </c>
      <c r="J78" s="11">
        <f>Main!C78</f>
        <v>76.332661146866826</v>
      </c>
      <c r="K78" s="11">
        <f t="shared" si="12"/>
        <v>79.332661146866826</v>
      </c>
      <c r="L78" s="11">
        <f>Main!R78</f>
        <v>4.3554766156798674</v>
      </c>
      <c r="M78" s="11">
        <f t="shared" si="13"/>
        <v>10.355476615679867</v>
      </c>
      <c r="N78" s="11">
        <f t="shared" si="14"/>
        <v>-38.166330573433413</v>
      </c>
      <c r="O78" s="11">
        <f>Main!D78</f>
        <v>2.2999999999999998</v>
      </c>
      <c r="P78" s="11">
        <f>O78+(2*Main!U78)</f>
        <v>6.3</v>
      </c>
      <c r="Q78" s="11">
        <f>Main!S78</f>
        <v>50</v>
      </c>
      <c r="R78" s="11">
        <f>Q78+(2*Main!U78)</f>
        <v>54</v>
      </c>
      <c r="S78" s="11">
        <v>25</v>
      </c>
      <c r="T78" s="11">
        <v>2</v>
      </c>
      <c r="U78" s="12">
        <f>Main!T78</f>
        <v>10</v>
      </c>
      <c r="V78" s="20">
        <f>(Coordinates!H78)/Coordinates!F78*SIGN(Coordinates!B78)</f>
        <v>-280.01980802624911</v>
      </c>
      <c r="W78" s="11">
        <f>V78*Coordinates!C78/Coordinates!B78</f>
        <v>-171.17251158658328</v>
      </c>
      <c r="X78" s="11">
        <f>V78*Coordinates!D78/Coordinates!B78</f>
        <v>94.388258734695739</v>
      </c>
      <c r="Y78" s="11">
        <f>(Coordinates!H78-(Main!T83/2))/Coordinates!F78*SIGN(Coordinates!B78)</f>
        <v>-280.01980802624911</v>
      </c>
      <c r="Z78" s="11">
        <f>Y78*Coordinates!C78/Coordinates!B78</f>
        <v>-171.17251158658328</v>
      </c>
      <c r="AA78" s="12">
        <f>Y78*Coordinates!D78/Coordinates!B78</f>
        <v>94.388258734695739</v>
      </c>
    </row>
    <row r="79" spans="1:27" ht="15" customHeight="1" x14ac:dyDescent="0.45">
      <c r="A79" s="13">
        <v>77</v>
      </c>
      <c r="B79" s="11">
        <f>Main!B79+Main!C79+Main!T79</f>
        <v>344.58480385863885</v>
      </c>
      <c r="C79" s="11">
        <f>Coordinates!T79</f>
        <v>42.608069578213971</v>
      </c>
      <c r="D79" s="11">
        <f>Coordinates!V79</f>
        <v>15.888444468241502</v>
      </c>
      <c r="E79" s="11">
        <f>Coordinates!Q79</f>
        <v>-112.18245548928714</v>
      </c>
      <c r="F79" s="11">
        <f>-Coordinates!P79</f>
        <v>121.96302374742827</v>
      </c>
      <c r="G79" s="11">
        <f>Coordinates!R79</f>
        <v>47.167671994200802</v>
      </c>
      <c r="H79" s="11">
        <f t="shared" si="10"/>
        <v>167.29240192931942</v>
      </c>
      <c r="I79" s="11">
        <f t="shared" si="11"/>
        <v>122.24497537014793</v>
      </c>
      <c r="J79" s="11">
        <f>Main!C79</f>
        <v>77.094853118342996</v>
      </c>
      <c r="K79" s="11">
        <f t="shared" si="12"/>
        <v>80.094853118342996</v>
      </c>
      <c r="L79" s="11">
        <f>Main!R79</f>
        <v>4.3351553139241812</v>
      </c>
      <c r="M79" s="11">
        <f t="shared" si="13"/>
        <v>10.335155313924181</v>
      </c>
      <c r="N79" s="11">
        <f t="shared" si="14"/>
        <v>-38.547426559171498</v>
      </c>
      <c r="O79" s="11">
        <f>Main!D79</f>
        <v>2.2999999999999998</v>
      </c>
      <c r="P79" s="11">
        <f>O79+(2*Main!U79)</f>
        <v>6.3</v>
      </c>
      <c r="Q79" s="11">
        <f>Main!S79</f>
        <v>50</v>
      </c>
      <c r="R79" s="11">
        <f>Q79+(2*Main!U79)</f>
        <v>54</v>
      </c>
      <c r="S79" s="11">
        <v>25</v>
      </c>
      <c r="T79" s="11">
        <v>2</v>
      </c>
      <c r="U79" s="12">
        <f>Main!T79</f>
        <v>10</v>
      </c>
      <c r="V79" s="20">
        <f>(Coordinates!H79)/Coordinates!F79*SIGN(Coordinates!B79)</f>
        <v>-243.92604749485653</v>
      </c>
      <c r="W79" s="11">
        <f>V79*Coordinates!C79/Coordinates!B79</f>
        <v>-224.36491097857427</v>
      </c>
      <c r="X79" s="11">
        <f>V79*Coordinates!D79/Coordinates!B79</f>
        <v>94.335343988401604</v>
      </c>
      <c r="Y79" s="11">
        <f>(Coordinates!H79-(Main!T84/2))/Coordinates!F79*SIGN(Coordinates!B79)</f>
        <v>-243.92604749485653</v>
      </c>
      <c r="Z79" s="11">
        <f>Y79*Coordinates!C79/Coordinates!B79</f>
        <v>-224.36491097857427</v>
      </c>
      <c r="AA79" s="12">
        <f>Y79*Coordinates!D79/Coordinates!B79</f>
        <v>94.335343988401604</v>
      </c>
    </row>
    <row r="80" spans="1:27" ht="15" customHeight="1" x14ac:dyDescent="0.45">
      <c r="A80" s="13">
        <v>78</v>
      </c>
      <c r="B80" s="11">
        <f>Main!B80+Main!C80+Main!T80</f>
        <v>346.51179370847194</v>
      </c>
      <c r="C80" s="11">
        <f>Coordinates!T80</f>
        <v>53.710732447177577</v>
      </c>
      <c r="D80" s="11">
        <f>Coordinates!V80</f>
        <v>15.79219074787153</v>
      </c>
      <c r="E80" s="11">
        <f>Coordinates!Q80</f>
        <v>-134.37992283376937</v>
      </c>
      <c r="F80" s="11">
        <f>-Coordinates!P80</f>
        <v>98.673118070018631</v>
      </c>
      <c r="G80" s="11">
        <f>Coordinates!R80</f>
        <v>47.151435866747548</v>
      </c>
      <c r="H80" s="11">
        <f t="shared" si="10"/>
        <v>168.25589685423597</v>
      </c>
      <c r="I80" s="11">
        <f t="shared" si="11"/>
        <v>122.97075848284237</v>
      </c>
      <c r="J80" s="11">
        <f>Main!C80</f>
        <v>77.570276742787186</v>
      </c>
      <c r="K80" s="11">
        <f t="shared" si="12"/>
        <v>80.570276742787186</v>
      </c>
      <c r="L80" s="11">
        <f>Main!R80</f>
        <v>4.3226819677369424</v>
      </c>
      <c r="M80" s="11">
        <f t="shared" si="13"/>
        <v>10.322681967736942</v>
      </c>
      <c r="N80" s="11">
        <f t="shared" si="14"/>
        <v>-38.785138371393593</v>
      </c>
      <c r="O80" s="11">
        <f>Main!D80</f>
        <v>2.2999999999999998</v>
      </c>
      <c r="P80" s="11">
        <f>O80+(2*Main!U80)</f>
        <v>6.3</v>
      </c>
      <c r="Q80" s="11">
        <f>Main!S80</f>
        <v>50</v>
      </c>
      <c r="R80" s="11">
        <f>Q80+(2*Main!U80)</f>
        <v>54</v>
      </c>
      <c r="S80" s="11">
        <v>25</v>
      </c>
      <c r="T80" s="11">
        <v>2</v>
      </c>
      <c r="U80" s="12">
        <f>Main!T80</f>
        <v>10</v>
      </c>
      <c r="V80" s="20">
        <f>(Coordinates!H80)/Coordinates!F80*SIGN(Coordinates!B80)</f>
        <v>-197.34623614003726</v>
      </c>
      <c r="W80" s="11">
        <f>V80*Coordinates!C80/Coordinates!B80</f>
        <v>-268.75984566753874</v>
      </c>
      <c r="X80" s="11">
        <f>V80*Coordinates!D80/Coordinates!B80</f>
        <v>94.302871733495095</v>
      </c>
      <c r="Y80" s="11">
        <f>(Coordinates!H80-(Main!T85/2))/Coordinates!F80*SIGN(Coordinates!B80)</f>
        <v>-197.34623614003726</v>
      </c>
      <c r="Z80" s="11">
        <f>Y80*Coordinates!C80/Coordinates!B80</f>
        <v>-268.75984566753874</v>
      </c>
      <c r="AA80" s="12">
        <f>Y80*Coordinates!D80/Coordinates!B80</f>
        <v>94.302871733495095</v>
      </c>
    </row>
    <row r="81" spans="1:27" ht="15" customHeight="1" x14ac:dyDescent="0.45">
      <c r="A81" s="13">
        <v>79</v>
      </c>
      <c r="B81" s="11">
        <f>Main!B81+Main!C81+Main!T81</f>
        <v>348.73569261469339</v>
      </c>
      <c r="C81" s="11">
        <f>Coordinates!T81</f>
        <v>64.726671254963591</v>
      </c>
      <c r="D81" s="11">
        <f>Coordinates!V81</f>
        <v>15.682560708620471</v>
      </c>
      <c r="E81" s="11">
        <f>Coordinates!Q81</f>
        <v>-151.80790199734423</v>
      </c>
      <c r="F81" s="11">
        <f>-Coordinates!P81</f>
        <v>71.672828766518435</v>
      </c>
      <c r="G81" s="11">
        <f>Coordinates!R81</f>
        <v>47.132921972147443</v>
      </c>
      <c r="H81" s="11">
        <f t="shared" si="10"/>
        <v>169.3678463073467</v>
      </c>
      <c r="I81" s="11">
        <f t="shared" si="11"/>
        <v>123.80848549681059</v>
      </c>
      <c r="J81" s="11">
        <f>Main!C81</f>
        <v>78.118721621072226</v>
      </c>
      <c r="K81" s="11">
        <f t="shared" si="12"/>
        <v>81.118721621072226</v>
      </c>
      <c r="L81" s="11">
        <f>Main!R81</f>
        <v>4.3084814080940719</v>
      </c>
      <c r="M81" s="11">
        <f t="shared" si="13"/>
        <v>10.308481408094071</v>
      </c>
      <c r="N81" s="11">
        <f t="shared" si="14"/>
        <v>-39.059360810536113</v>
      </c>
      <c r="O81" s="11">
        <f>Main!D81</f>
        <v>2.2999999999999998</v>
      </c>
      <c r="P81" s="11">
        <f>O81+(2*Main!U81)</f>
        <v>6.3</v>
      </c>
      <c r="Q81" s="11">
        <f>Main!S81</f>
        <v>50</v>
      </c>
      <c r="R81" s="11">
        <f>Q81+(2*Main!U81)</f>
        <v>54</v>
      </c>
      <c r="S81" s="11">
        <v>25</v>
      </c>
      <c r="T81" s="11">
        <v>2</v>
      </c>
      <c r="U81" s="12">
        <f>Main!T81</f>
        <v>10</v>
      </c>
      <c r="V81" s="20">
        <f>(Coordinates!H81)/Coordinates!F81*SIGN(Coordinates!B81)</f>
        <v>-143.34565753303687</v>
      </c>
      <c r="W81" s="11">
        <f>V81*Coordinates!C81/Coordinates!B81</f>
        <v>-303.61580399468846</v>
      </c>
      <c r="X81" s="11">
        <f>V81*Coordinates!D81/Coordinates!B81</f>
        <v>94.265843944294886</v>
      </c>
      <c r="Y81" s="11">
        <f>(Coordinates!H81-(Main!T86/2))/Coordinates!F81*SIGN(Coordinates!B81)</f>
        <v>-143.34565753303687</v>
      </c>
      <c r="Z81" s="11">
        <f>Y81*Coordinates!C81/Coordinates!B81</f>
        <v>-303.61580399468846</v>
      </c>
      <c r="AA81" s="12">
        <f>Y81*Coordinates!D81/Coordinates!B81</f>
        <v>94.265843944294886</v>
      </c>
    </row>
    <row r="82" spans="1:27" ht="15" customHeight="1" x14ac:dyDescent="0.45">
      <c r="A82" s="42">
        <v>80</v>
      </c>
      <c r="B82" s="17">
        <f>Main!B82+Main!C82+Main!T82</f>
        <v>352.35477554530922</v>
      </c>
      <c r="C82" s="17">
        <f>Coordinates!T82</f>
        <v>75.600013566373519</v>
      </c>
      <c r="D82" s="17">
        <f>Coordinates!V82</f>
        <v>15.507419857603267</v>
      </c>
      <c r="E82" s="17">
        <f>Coordinates!Q82</f>
        <v>-164.43036564395626</v>
      </c>
      <c r="F82" s="17">
        <f>-Coordinates!P82</f>
        <v>42.218500716561302</v>
      </c>
      <c r="G82" s="17">
        <f>Coordinates!R82</f>
        <v>47.103343977226011</v>
      </c>
      <c r="H82" s="17">
        <f t="shared" si="10"/>
        <v>171.17738777265461</v>
      </c>
      <c r="I82" s="17">
        <f t="shared" si="11"/>
        <v>125.17202749966486</v>
      </c>
      <c r="J82" s="17">
        <f>Main!C82</f>
        <v>79.010720545979495</v>
      </c>
      <c r="K82" s="17">
        <f t="shared" si="12"/>
        <v>82.010720545979495</v>
      </c>
      <c r="L82" s="17">
        <f>Main!R82</f>
        <v>4.2858064692460767</v>
      </c>
      <c r="M82" s="17">
        <f t="shared" si="13"/>
        <v>10.285806469246076</v>
      </c>
      <c r="N82" s="17">
        <f t="shared" si="14"/>
        <v>-39.505360272989748</v>
      </c>
      <c r="O82" s="17">
        <f>Main!D82</f>
        <v>2.2999999999999998</v>
      </c>
      <c r="P82" s="17">
        <f>O82+(2*Main!U82)</f>
        <v>6.3</v>
      </c>
      <c r="Q82" s="17">
        <f>Main!S82</f>
        <v>50</v>
      </c>
      <c r="R82" s="17">
        <f>Q82+(2*Main!U82)</f>
        <v>54</v>
      </c>
      <c r="S82" s="17">
        <v>25</v>
      </c>
      <c r="T82" s="17">
        <v>2</v>
      </c>
      <c r="U82" s="18">
        <f>Main!T82</f>
        <v>10</v>
      </c>
      <c r="V82" s="16">
        <f>(Coordinates!H82)/Coordinates!F82*SIGN(Coordinates!B82)</f>
        <v>-84.437001433122603</v>
      </c>
      <c r="W82" s="17">
        <f>V82*Coordinates!C82/Coordinates!B82</f>
        <v>-328.86073128791253</v>
      </c>
      <c r="X82" s="17">
        <f>V82*Coordinates!D82/Coordinates!B82</f>
        <v>94.206687954452022</v>
      </c>
      <c r="Y82" s="17">
        <f>(Coordinates!H82-(Main!T87/2))/Coordinates!F82*SIGN(Coordinates!B82)</f>
        <v>-84.437001433122603</v>
      </c>
      <c r="Z82" s="17">
        <f>Y82*Coordinates!C82/Coordinates!B82</f>
        <v>-328.86073128791253</v>
      </c>
      <c r="AA82" s="18">
        <f>Y82*Coordinates!D82/Coordinates!B82</f>
        <v>94.206687954452022</v>
      </c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83"/>
  <sheetViews>
    <sheetView showGridLines="0" workbookViewId="0"/>
  </sheetViews>
  <sheetFormatPr defaultColWidth="8.796875" defaultRowHeight="15" customHeight="1" x14ac:dyDescent="0.45"/>
  <cols>
    <col min="1" max="256" width="8.86328125" style="1" customWidth="1"/>
  </cols>
  <sheetData>
    <row r="1" spans="1:36" ht="15" customHeight="1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36" ht="94.5" customHeight="1" x14ac:dyDescent="0.45">
      <c r="A2" s="22"/>
      <c r="B2" s="28" t="s">
        <v>136</v>
      </c>
      <c r="C2" s="28" t="s">
        <v>137</v>
      </c>
      <c r="D2" s="28" t="s">
        <v>138</v>
      </c>
      <c r="E2" s="28" t="s">
        <v>139</v>
      </c>
      <c r="F2" s="28" t="s">
        <v>140</v>
      </c>
      <c r="G2" s="28" t="s">
        <v>141</v>
      </c>
      <c r="H2" s="28" t="s">
        <v>142</v>
      </c>
      <c r="I2" s="28" t="s">
        <v>143</v>
      </c>
      <c r="J2" s="28" t="s">
        <v>144</v>
      </c>
      <c r="K2" s="28" t="s">
        <v>145</v>
      </c>
      <c r="L2" s="28" t="s">
        <v>146</v>
      </c>
      <c r="M2" s="28" t="s">
        <v>147</v>
      </c>
      <c r="N2" s="28" t="s">
        <v>148</v>
      </c>
      <c r="O2" s="28" t="s">
        <v>149</v>
      </c>
      <c r="P2" s="28" t="s">
        <v>150</v>
      </c>
      <c r="Q2" s="28" t="s">
        <v>151</v>
      </c>
      <c r="R2" s="28" t="s">
        <v>152</v>
      </c>
      <c r="S2" s="28" t="s">
        <v>153</v>
      </c>
      <c r="T2" s="28" t="s">
        <v>154</v>
      </c>
      <c r="U2" s="28" t="s">
        <v>155</v>
      </c>
      <c r="V2" s="28" t="s">
        <v>156</v>
      </c>
      <c r="W2" s="28" t="s">
        <v>157</v>
      </c>
      <c r="X2" s="28" t="s">
        <v>158</v>
      </c>
      <c r="Y2" s="28" t="s">
        <v>159</v>
      </c>
      <c r="Z2" s="28" t="s">
        <v>160</v>
      </c>
      <c r="AA2" s="28" t="s">
        <v>161</v>
      </c>
      <c r="AB2" s="28" t="s">
        <v>162</v>
      </c>
      <c r="AC2" s="28" t="s">
        <v>163</v>
      </c>
      <c r="AD2" s="28" t="s">
        <v>164</v>
      </c>
      <c r="AE2" s="28" t="s">
        <v>165</v>
      </c>
      <c r="AF2" s="28" t="s">
        <v>166</v>
      </c>
      <c r="AG2" s="28" t="s">
        <v>167</v>
      </c>
      <c r="AH2" s="28" t="s">
        <v>168</v>
      </c>
      <c r="AI2" s="28" t="s">
        <v>169</v>
      </c>
      <c r="AJ2" s="28" t="s">
        <v>170</v>
      </c>
    </row>
    <row r="3" spans="1:36" ht="15" customHeight="1" x14ac:dyDescent="0.45">
      <c r="A3" s="28" t="s">
        <v>171</v>
      </c>
      <c r="B3" s="22">
        <v>56</v>
      </c>
      <c r="C3" s="22">
        <v>56</v>
      </c>
      <c r="D3" s="22">
        <v>70</v>
      </c>
      <c r="E3" s="22">
        <v>4</v>
      </c>
      <c r="F3" s="22">
        <v>4</v>
      </c>
      <c r="G3" s="22">
        <v>4</v>
      </c>
      <c r="H3" s="22">
        <v>4</v>
      </c>
      <c r="I3" s="22">
        <v>2</v>
      </c>
      <c r="J3" s="22">
        <v>2</v>
      </c>
      <c r="K3" s="22">
        <v>70</v>
      </c>
      <c r="L3" s="22">
        <v>24</v>
      </c>
      <c r="M3" s="22">
        <v>70</v>
      </c>
      <c r="N3" s="22">
        <v>24</v>
      </c>
      <c r="O3" s="22">
        <v>70</v>
      </c>
      <c r="P3" s="22">
        <v>24</v>
      </c>
      <c r="Q3" s="22">
        <v>70</v>
      </c>
      <c r="R3" s="22">
        <v>24</v>
      </c>
      <c r="S3" s="22">
        <v>70</v>
      </c>
      <c r="T3" s="22">
        <v>50</v>
      </c>
      <c r="U3" s="22">
        <v>50</v>
      </c>
      <c r="V3" s="22">
        <v>10</v>
      </c>
      <c r="W3" s="22">
        <v>10</v>
      </c>
      <c r="X3" s="22">
        <v>10</v>
      </c>
      <c r="Y3" s="22">
        <v>3</v>
      </c>
      <c r="Z3" s="22">
        <v>2</v>
      </c>
      <c r="AA3" s="22">
        <v>2</v>
      </c>
      <c r="AB3" s="22">
        <v>3</v>
      </c>
      <c r="AC3" s="22">
        <v>1</v>
      </c>
      <c r="AD3" s="22">
        <v>3</v>
      </c>
      <c r="AE3" s="22">
        <v>1</v>
      </c>
      <c r="AF3" s="22">
        <v>3</v>
      </c>
      <c r="AG3" s="22">
        <v>1</v>
      </c>
      <c r="AH3" s="22">
        <v>3</v>
      </c>
      <c r="AI3" s="22">
        <v>1</v>
      </c>
      <c r="AJ3" s="22">
        <v>3</v>
      </c>
    </row>
    <row r="4" spans="1:36" ht="15" customHeight="1" x14ac:dyDescent="0.45">
      <c r="A4" s="22">
        <v>1</v>
      </c>
      <c r="B4" s="22">
        <f>Main!S3+(2*Main!U3)</f>
        <v>54</v>
      </c>
      <c r="C4" s="22">
        <f>Main!S3+(2*Main!U3)</f>
        <v>54</v>
      </c>
      <c r="D4" s="22">
        <f>Main!C3</f>
        <v>89.070206162964965</v>
      </c>
      <c r="E4" s="22">
        <f>(Main!D3/2)+Main!U3</f>
        <v>3.15</v>
      </c>
      <c r="F4" s="22">
        <f>(Main!D3/2)+Main!U3</f>
        <v>3.15</v>
      </c>
      <c r="G4" s="22">
        <f>(Main!D3/2)+Main!U3</f>
        <v>3.15</v>
      </c>
      <c r="H4" s="22">
        <f>(Main!D3/2)+Main!U3</f>
        <v>3.15</v>
      </c>
      <c r="I4" s="22">
        <f>Main!D3</f>
        <v>2.2999999999999998</v>
      </c>
      <c r="J4" s="22">
        <f>Main!D3</f>
        <v>2.2999999999999998</v>
      </c>
      <c r="K4" s="22">
        <f>Main!C3</f>
        <v>89.070206162964965</v>
      </c>
      <c r="L4" s="22">
        <f>(Main!S3/2)-(Main!D3/2)</f>
        <v>23.85</v>
      </c>
      <c r="M4" s="22">
        <f>Main!C3</f>
        <v>89.070206162964965</v>
      </c>
      <c r="N4" s="22">
        <f>(Main!S3/2)-(Main!D3/2)</f>
        <v>23.85</v>
      </c>
      <c r="O4" s="22">
        <f>Main!C3</f>
        <v>89.070206162964965</v>
      </c>
      <c r="P4" s="22">
        <f>(Main!S3/2)-(Main!D3/2)</f>
        <v>23.85</v>
      </c>
      <c r="Q4" s="22">
        <f>Main!C3</f>
        <v>89.070206162964965</v>
      </c>
      <c r="R4" s="22">
        <f>(Main!S3/2)-(Main!D3/2)</f>
        <v>23.85</v>
      </c>
      <c r="S4" s="22">
        <f>Main!C3</f>
        <v>89.070206162964965</v>
      </c>
      <c r="T4" s="22">
        <f>Main!S3</f>
        <v>50</v>
      </c>
      <c r="U4" s="22">
        <f>Main!S3</f>
        <v>50</v>
      </c>
      <c r="V4" s="22">
        <f>Main!T3</f>
        <v>10</v>
      </c>
      <c r="W4" s="22">
        <f>Main!R3+(Main!U3*2)</f>
        <v>8.0615317933915183</v>
      </c>
      <c r="X4" s="22">
        <f>Main!R3+(Main!U3*2)</f>
        <v>8.0615317933915183</v>
      </c>
      <c r="Y4" s="22">
        <v>3</v>
      </c>
      <c r="Z4" s="22">
        <f>Main!D3</f>
        <v>2.2999999999999998</v>
      </c>
      <c r="AA4" s="22">
        <f>Main!D3</f>
        <v>2.2999999999999998</v>
      </c>
      <c r="AB4" s="22">
        <v>3</v>
      </c>
      <c r="AC4" s="22">
        <f>(Main!R3/2)-(Main!D3/2)</f>
        <v>0.88076589669575922</v>
      </c>
      <c r="AD4" s="22">
        <v>3</v>
      </c>
      <c r="AE4" s="22">
        <f>(Main!R3/2)-(Main!D3/2)</f>
        <v>0.88076589669575922</v>
      </c>
      <c r="AF4" s="22">
        <v>3</v>
      </c>
      <c r="AG4" s="22">
        <f>(Main!R3/2)-(Main!D3/2)</f>
        <v>0.88076589669575922</v>
      </c>
      <c r="AH4" s="22">
        <v>3</v>
      </c>
      <c r="AI4" s="22">
        <f>(Main!R3/2)-(Main!D3/2)</f>
        <v>0.88076589669575922</v>
      </c>
      <c r="AJ4" s="22">
        <v>3</v>
      </c>
    </row>
    <row r="5" spans="1:36" ht="15" customHeight="1" x14ac:dyDescent="0.45">
      <c r="A5" s="22">
        <v>2</v>
      </c>
      <c r="B5" s="22">
        <f>Main!S4+(2*Main!U4)</f>
        <v>54</v>
      </c>
      <c r="C5" s="22">
        <f>Main!S4+(2*Main!U4)</f>
        <v>54</v>
      </c>
      <c r="D5" s="22">
        <f>Main!C4</f>
        <v>82.700811490358959</v>
      </c>
      <c r="E5" s="22">
        <f>(Main!D4/2)+Main!U4</f>
        <v>3.15</v>
      </c>
      <c r="F5" s="22">
        <f>(Main!D4/2)+Main!U4</f>
        <v>3.15</v>
      </c>
      <c r="G5" s="22">
        <f>(Main!D4/2)+Main!U4</f>
        <v>3.15</v>
      </c>
      <c r="H5" s="22">
        <f>(Main!D4/2)+Main!U4</f>
        <v>3.15</v>
      </c>
      <c r="I5" s="22">
        <f>Main!D4</f>
        <v>2.2999999999999998</v>
      </c>
      <c r="J5" s="22">
        <f>Main!D4</f>
        <v>2.2999999999999998</v>
      </c>
      <c r="K5" s="22">
        <f>Main!C4</f>
        <v>82.700811490358959</v>
      </c>
      <c r="L5" s="22">
        <f>(Main!S4/2)-(Main!D4/2)</f>
        <v>23.85</v>
      </c>
      <c r="M5" s="22">
        <f>Main!C4</f>
        <v>82.700811490358959</v>
      </c>
      <c r="N5" s="22">
        <f>(Main!S4/2)-(Main!D4/2)</f>
        <v>23.85</v>
      </c>
      <c r="O5" s="22">
        <f>Main!C4</f>
        <v>82.700811490358959</v>
      </c>
      <c r="P5" s="22">
        <f>(Main!S4/2)-(Main!D4/2)</f>
        <v>23.85</v>
      </c>
      <c r="Q5" s="22">
        <f>Main!C4</f>
        <v>82.700811490358959</v>
      </c>
      <c r="R5" s="22">
        <f>(Main!S4/2)-(Main!D4/2)</f>
        <v>23.85</v>
      </c>
      <c r="S5" s="22">
        <f>Main!C4</f>
        <v>82.700811490358959</v>
      </c>
      <c r="T5" s="22">
        <f>Main!S4</f>
        <v>50</v>
      </c>
      <c r="U5" s="22">
        <f>Main!S4</f>
        <v>50</v>
      </c>
      <c r="V5" s="22">
        <f>Main!T4</f>
        <v>10</v>
      </c>
      <c r="W5" s="22">
        <f>Main!R4+(Main!U4*2)</f>
        <v>8.1972002471619163</v>
      </c>
      <c r="X5" s="22">
        <f>Main!R4+(Main!U4*2)</f>
        <v>8.1972002471619163</v>
      </c>
      <c r="Y5" s="22">
        <v>3</v>
      </c>
      <c r="Z5" s="22">
        <f>Main!D4</f>
        <v>2.2999999999999998</v>
      </c>
      <c r="AA5" s="22">
        <f>Main!D4</f>
        <v>2.2999999999999998</v>
      </c>
      <c r="AB5" s="22">
        <v>3</v>
      </c>
      <c r="AC5" s="22">
        <f>(Main!R4/2)-(Main!D4/2)</f>
        <v>0.9486001235809578</v>
      </c>
      <c r="AD5" s="22">
        <v>3</v>
      </c>
      <c r="AE5" s="22">
        <f>(Main!R4/2)-(Main!D4/2)</f>
        <v>0.9486001235809578</v>
      </c>
      <c r="AF5" s="22">
        <v>3</v>
      </c>
      <c r="AG5" s="22">
        <f>(Main!R4/2)-(Main!D4/2)</f>
        <v>0.9486001235809578</v>
      </c>
      <c r="AH5" s="22">
        <v>3</v>
      </c>
      <c r="AI5" s="22">
        <f>(Main!R4/2)-(Main!D4/2)</f>
        <v>0.9486001235809578</v>
      </c>
      <c r="AJ5" s="22">
        <v>3</v>
      </c>
    </row>
    <row r="6" spans="1:36" ht="15" customHeight="1" x14ac:dyDescent="0.45">
      <c r="A6" s="22">
        <v>3</v>
      </c>
      <c r="B6" s="22">
        <f>Main!S5+(2*Main!U5)</f>
        <v>54</v>
      </c>
      <c r="C6" s="22">
        <f>Main!S5+(2*Main!U5)</f>
        <v>54</v>
      </c>
      <c r="D6" s="22">
        <f>Main!C5</f>
        <v>75.776075670588156</v>
      </c>
      <c r="E6" s="22">
        <f>(Main!D5/2)+Main!U5</f>
        <v>3.15</v>
      </c>
      <c r="F6" s="22">
        <f>(Main!D5/2)+Main!U5</f>
        <v>3.15</v>
      </c>
      <c r="G6" s="22">
        <f>(Main!D5/2)+Main!U5</f>
        <v>3.15</v>
      </c>
      <c r="H6" s="22">
        <f>(Main!D5/2)+Main!U5</f>
        <v>3.15</v>
      </c>
      <c r="I6" s="22">
        <f>Main!D5</f>
        <v>2.2999999999999998</v>
      </c>
      <c r="J6" s="22">
        <f>Main!D5</f>
        <v>2.2999999999999998</v>
      </c>
      <c r="K6" s="22">
        <f>Main!C5</f>
        <v>75.776075670588156</v>
      </c>
      <c r="L6" s="22">
        <f>(Main!S5/2)-(Main!D5/2)</f>
        <v>23.85</v>
      </c>
      <c r="M6" s="22">
        <f>Main!C5</f>
        <v>75.776075670588156</v>
      </c>
      <c r="N6" s="22">
        <f>(Main!S5/2)-(Main!D5/2)</f>
        <v>23.85</v>
      </c>
      <c r="O6" s="22">
        <f>Main!C5</f>
        <v>75.776075670588156</v>
      </c>
      <c r="P6" s="22">
        <f>(Main!S5/2)-(Main!D5/2)</f>
        <v>23.85</v>
      </c>
      <c r="Q6" s="22">
        <f>Main!C5</f>
        <v>75.776075670588156</v>
      </c>
      <c r="R6" s="22">
        <f>(Main!S5/2)-(Main!D5/2)</f>
        <v>23.85</v>
      </c>
      <c r="S6" s="22">
        <f>Main!C5</f>
        <v>75.776075670588156</v>
      </c>
      <c r="T6" s="22">
        <f>Main!S5</f>
        <v>50</v>
      </c>
      <c r="U6" s="22">
        <f>Main!S5</f>
        <v>50</v>
      </c>
      <c r="V6" s="22">
        <f>Main!T5</f>
        <v>10</v>
      </c>
      <c r="W6" s="22">
        <f>Main!R5+(Main!U5*2)</f>
        <v>8.3705743681168148</v>
      </c>
      <c r="X6" s="22">
        <f>Main!R5+(Main!U5*2)</f>
        <v>8.3705743681168148</v>
      </c>
      <c r="Y6" s="22">
        <v>3</v>
      </c>
      <c r="Z6" s="22">
        <f>Main!D5</f>
        <v>2.2999999999999998</v>
      </c>
      <c r="AA6" s="22">
        <f>Main!D5</f>
        <v>2.2999999999999998</v>
      </c>
      <c r="AB6" s="22">
        <v>3</v>
      </c>
      <c r="AC6" s="22">
        <f>(Main!R5/2)-(Main!D5/2)</f>
        <v>1.0352871840584075</v>
      </c>
      <c r="AD6" s="22">
        <v>3</v>
      </c>
      <c r="AE6" s="22">
        <f>(Main!R5/2)-(Main!D5/2)</f>
        <v>1.0352871840584075</v>
      </c>
      <c r="AF6" s="22">
        <v>3</v>
      </c>
      <c r="AG6" s="22">
        <f>(Main!R5/2)-(Main!D5/2)</f>
        <v>1.0352871840584075</v>
      </c>
      <c r="AH6" s="22">
        <v>3</v>
      </c>
      <c r="AI6" s="22">
        <f>(Main!R5/2)-(Main!D5/2)</f>
        <v>1.0352871840584075</v>
      </c>
      <c r="AJ6" s="22">
        <v>3</v>
      </c>
    </row>
    <row r="7" spans="1:36" ht="15" customHeight="1" x14ac:dyDescent="0.45">
      <c r="A7" s="22">
        <v>4</v>
      </c>
      <c r="B7" s="22">
        <f>Main!S6+(2*Main!U6)</f>
        <v>54</v>
      </c>
      <c r="C7" s="22">
        <f>Main!S6+(2*Main!U6)</f>
        <v>54</v>
      </c>
      <c r="D7" s="22">
        <f>Main!C6</f>
        <v>68.942582316349998</v>
      </c>
      <c r="E7" s="22">
        <f>(Main!D6/2)+Main!U6</f>
        <v>3.15</v>
      </c>
      <c r="F7" s="22">
        <f>(Main!D6/2)+Main!U6</f>
        <v>3.15</v>
      </c>
      <c r="G7" s="22">
        <f>(Main!D6/2)+Main!U6</f>
        <v>3.15</v>
      </c>
      <c r="H7" s="22">
        <f>(Main!D6/2)+Main!U6</f>
        <v>3.15</v>
      </c>
      <c r="I7" s="22">
        <f>Main!D6</f>
        <v>2.2999999999999998</v>
      </c>
      <c r="J7" s="22">
        <f>Main!D6</f>
        <v>2.2999999999999998</v>
      </c>
      <c r="K7" s="22">
        <f>Main!C6</f>
        <v>68.942582316349998</v>
      </c>
      <c r="L7" s="22">
        <f>(Main!S6/2)-(Main!D6/2)</f>
        <v>23.85</v>
      </c>
      <c r="M7" s="22">
        <f>Main!C6</f>
        <v>68.942582316349998</v>
      </c>
      <c r="N7" s="22">
        <f>(Main!S6/2)-(Main!D6/2)</f>
        <v>23.85</v>
      </c>
      <c r="O7" s="22">
        <f>Main!C6</f>
        <v>68.942582316349998</v>
      </c>
      <c r="P7" s="22">
        <f>(Main!S6/2)-(Main!D6/2)</f>
        <v>23.85</v>
      </c>
      <c r="Q7" s="22">
        <f>Main!C6</f>
        <v>68.942582316349998</v>
      </c>
      <c r="R7" s="22">
        <f>(Main!S6/2)-(Main!D6/2)</f>
        <v>23.85</v>
      </c>
      <c r="S7" s="22">
        <f>Main!C6</f>
        <v>68.942582316349998</v>
      </c>
      <c r="T7" s="22">
        <f>Main!S6</f>
        <v>50</v>
      </c>
      <c r="U7" s="22">
        <f>Main!S6</f>
        <v>50</v>
      </c>
      <c r="V7" s="22">
        <f>Main!T6</f>
        <v>10</v>
      </c>
      <c r="W7" s="22">
        <f>Main!R6+(Main!U6*2)</f>
        <v>8.5758068341572766</v>
      </c>
      <c r="X7" s="22">
        <f>Main!R6+(Main!U6*2)</f>
        <v>8.5758068341572766</v>
      </c>
      <c r="Y7" s="22">
        <v>3</v>
      </c>
      <c r="Z7" s="22">
        <f>Main!D6</f>
        <v>2.2999999999999998</v>
      </c>
      <c r="AA7" s="22">
        <f>Main!D6</f>
        <v>2.2999999999999998</v>
      </c>
      <c r="AB7" s="22">
        <v>3</v>
      </c>
      <c r="AC7" s="22">
        <f>(Main!R6/2)-(Main!D6/2)</f>
        <v>1.1379034170786388</v>
      </c>
      <c r="AD7" s="22">
        <v>3</v>
      </c>
      <c r="AE7" s="22">
        <f>(Main!R6/2)-(Main!D6/2)</f>
        <v>1.1379034170786388</v>
      </c>
      <c r="AF7" s="22">
        <v>3</v>
      </c>
      <c r="AG7" s="22">
        <f>(Main!R6/2)-(Main!D6/2)</f>
        <v>1.1379034170786388</v>
      </c>
      <c r="AH7" s="22">
        <v>3</v>
      </c>
      <c r="AI7" s="22">
        <f>(Main!R6/2)-(Main!D6/2)</f>
        <v>1.1379034170786388</v>
      </c>
      <c r="AJ7" s="22">
        <v>3</v>
      </c>
    </row>
    <row r="8" spans="1:36" ht="15" customHeight="1" x14ac:dyDescent="0.45">
      <c r="A8" s="22">
        <v>5</v>
      </c>
      <c r="B8" s="22">
        <f>Main!S7+(2*Main!U7)</f>
        <v>54</v>
      </c>
      <c r="C8" s="22">
        <f>Main!S7+(2*Main!U7)</f>
        <v>54</v>
      </c>
      <c r="D8" s="22">
        <f>Main!C7</f>
        <v>62.832246190843783</v>
      </c>
      <c r="E8" s="22">
        <f>(Main!D7/2)+Main!U7</f>
        <v>3.15</v>
      </c>
      <c r="F8" s="22">
        <f>(Main!D7/2)+Main!U7</f>
        <v>3.15</v>
      </c>
      <c r="G8" s="22">
        <f>(Main!D7/2)+Main!U7</f>
        <v>3.15</v>
      </c>
      <c r="H8" s="22">
        <f>(Main!D7/2)+Main!U7</f>
        <v>3.15</v>
      </c>
      <c r="I8" s="22">
        <f>Main!D7</f>
        <v>2.2999999999999998</v>
      </c>
      <c r="J8" s="22">
        <f>Main!D7</f>
        <v>2.2999999999999998</v>
      </c>
      <c r="K8" s="22">
        <f>Main!C7</f>
        <v>62.832246190843783</v>
      </c>
      <c r="L8" s="22">
        <f>(Main!S7/2)-(Main!D7/2)</f>
        <v>23.85</v>
      </c>
      <c r="M8" s="22">
        <f>Main!C7</f>
        <v>62.832246190843783</v>
      </c>
      <c r="N8" s="22">
        <f>(Main!S7/2)-(Main!D7/2)</f>
        <v>23.85</v>
      </c>
      <c r="O8" s="22">
        <f>Main!C7</f>
        <v>62.832246190843783</v>
      </c>
      <c r="P8" s="22">
        <f>(Main!S7/2)-(Main!D7/2)</f>
        <v>23.85</v>
      </c>
      <c r="Q8" s="22">
        <f>Main!C7</f>
        <v>62.832246190843783</v>
      </c>
      <c r="R8" s="22">
        <f>(Main!S7/2)-(Main!D7/2)</f>
        <v>23.85</v>
      </c>
      <c r="S8" s="22">
        <f>Main!C7</f>
        <v>62.832246190843783</v>
      </c>
      <c r="T8" s="22">
        <f>Main!S7</f>
        <v>50</v>
      </c>
      <c r="U8" s="22">
        <f>Main!S7</f>
        <v>50</v>
      </c>
      <c r="V8" s="22">
        <f>Main!T7</f>
        <v>10</v>
      </c>
      <c r="W8" s="22">
        <f>Main!R7+(Main!U7*2)</f>
        <v>8.7971254333871691</v>
      </c>
      <c r="X8" s="22">
        <f>Main!R7+(Main!U7*2)</f>
        <v>8.7971254333871691</v>
      </c>
      <c r="Y8" s="22">
        <v>3</v>
      </c>
      <c r="Z8" s="22">
        <f>Main!D7</f>
        <v>2.2999999999999998</v>
      </c>
      <c r="AA8" s="22">
        <f>Main!D7</f>
        <v>2.2999999999999998</v>
      </c>
      <c r="AB8" s="22">
        <v>3</v>
      </c>
      <c r="AC8" s="22">
        <f>(Main!R7/2)-(Main!D7/2)</f>
        <v>1.2485627166935842</v>
      </c>
      <c r="AD8" s="22">
        <v>3</v>
      </c>
      <c r="AE8" s="22">
        <f>(Main!R7/2)-(Main!D7/2)</f>
        <v>1.2485627166935842</v>
      </c>
      <c r="AF8" s="22">
        <v>3</v>
      </c>
      <c r="AG8" s="22">
        <f>(Main!R7/2)-(Main!D7/2)</f>
        <v>1.2485627166935842</v>
      </c>
      <c r="AH8" s="22">
        <v>3</v>
      </c>
      <c r="AI8" s="22">
        <f>(Main!R7/2)-(Main!D7/2)</f>
        <v>1.2485627166935842</v>
      </c>
      <c r="AJ8" s="22">
        <v>3</v>
      </c>
    </row>
    <row r="9" spans="1:36" ht="15" customHeight="1" x14ac:dyDescent="0.45">
      <c r="A9" s="22">
        <v>6</v>
      </c>
      <c r="B9" s="22">
        <f>Main!S8+(2*Main!U8)</f>
        <v>54</v>
      </c>
      <c r="C9" s="22">
        <f>Main!S8+(2*Main!U8)</f>
        <v>54</v>
      </c>
      <c r="D9" s="22">
        <f>Main!C8</f>
        <v>57.977630449821568</v>
      </c>
      <c r="E9" s="22">
        <f>(Main!D8/2)+Main!U8</f>
        <v>3.15</v>
      </c>
      <c r="F9" s="22">
        <f>(Main!D8/2)+Main!U8</f>
        <v>3.15</v>
      </c>
      <c r="G9" s="22">
        <f>(Main!D8/2)+Main!U8</f>
        <v>3.15</v>
      </c>
      <c r="H9" s="22">
        <f>(Main!D8/2)+Main!U8</f>
        <v>3.15</v>
      </c>
      <c r="I9" s="22">
        <f>Main!D8</f>
        <v>2.2999999999999998</v>
      </c>
      <c r="J9" s="22">
        <f>Main!D8</f>
        <v>2.2999999999999998</v>
      </c>
      <c r="K9" s="22">
        <f>Main!C8</f>
        <v>57.977630449821568</v>
      </c>
      <c r="L9" s="22">
        <f>(Main!S8/2)-(Main!D8/2)</f>
        <v>23.85</v>
      </c>
      <c r="M9" s="22">
        <f>Main!C8</f>
        <v>57.977630449821568</v>
      </c>
      <c r="N9" s="22">
        <f>(Main!S8/2)-(Main!D8/2)</f>
        <v>23.85</v>
      </c>
      <c r="O9" s="22">
        <f>Main!C8</f>
        <v>57.977630449821568</v>
      </c>
      <c r="P9" s="22">
        <f>(Main!S8/2)-(Main!D8/2)</f>
        <v>23.85</v>
      </c>
      <c r="Q9" s="22">
        <f>Main!C8</f>
        <v>57.977630449821568</v>
      </c>
      <c r="R9" s="22">
        <f>(Main!S8/2)-(Main!D8/2)</f>
        <v>23.85</v>
      </c>
      <c r="S9" s="22">
        <f>Main!C8</f>
        <v>57.977630449821568</v>
      </c>
      <c r="T9" s="22">
        <f>Main!S8</f>
        <v>50</v>
      </c>
      <c r="U9" s="22">
        <f>Main!S8</f>
        <v>50</v>
      </c>
      <c r="V9" s="22">
        <f>Main!T8</f>
        <v>10</v>
      </c>
      <c r="W9" s="22">
        <f>Main!R8+(Main!U8*2)</f>
        <v>9.0062161523795581</v>
      </c>
      <c r="X9" s="22">
        <f>Main!R8+(Main!U8*2)</f>
        <v>9.0062161523795581</v>
      </c>
      <c r="Y9" s="22">
        <v>3</v>
      </c>
      <c r="Z9" s="22">
        <f>Main!D8</f>
        <v>2.2999999999999998</v>
      </c>
      <c r="AA9" s="22">
        <f>Main!D8</f>
        <v>2.2999999999999998</v>
      </c>
      <c r="AB9" s="22">
        <v>3</v>
      </c>
      <c r="AC9" s="22">
        <f>(Main!R8/2)-(Main!D8/2)</f>
        <v>1.3531080761897787</v>
      </c>
      <c r="AD9" s="22">
        <v>3</v>
      </c>
      <c r="AE9" s="22">
        <f>(Main!R8/2)-(Main!D8/2)</f>
        <v>1.3531080761897787</v>
      </c>
      <c r="AF9" s="22">
        <v>3</v>
      </c>
      <c r="AG9" s="22">
        <f>(Main!R8/2)-(Main!D8/2)</f>
        <v>1.3531080761897787</v>
      </c>
      <c r="AH9" s="22">
        <v>3</v>
      </c>
      <c r="AI9" s="22">
        <f>(Main!R8/2)-(Main!D8/2)</f>
        <v>1.3531080761897787</v>
      </c>
      <c r="AJ9" s="22">
        <v>3</v>
      </c>
    </row>
    <row r="10" spans="1:36" ht="15" customHeight="1" x14ac:dyDescent="0.45">
      <c r="A10" s="22">
        <v>7</v>
      </c>
      <c r="B10" s="22">
        <f>Main!S9+(2*Main!U9)</f>
        <v>54</v>
      </c>
      <c r="C10" s="22">
        <f>Main!S9+(2*Main!U9)</f>
        <v>54</v>
      </c>
      <c r="D10" s="22">
        <f>Main!C9</f>
        <v>54.797151179694914</v>
      </c>
      <c r="E10" s="22">
        <f>(Main!D9/2)+Main!U9</f>
        <v>3.15</v>
      </c>
      <c r="F10" s="22">
        <f>(Main!D9/2)+Main!U9</f>
        <v>3.15</v>
      </c>
      <c r="G10" s="22">
        <f>(Main!D9/2)+Main!U9</f>
        <v>3.15</v>
      </c>
      <c r="H10" s="22">
        <f>(Main!D9/2)+Main!U9</f>
        <v>3.15</v>
      </c>
      <c r="I10" s="22">
        <f>Main!D9</f>
        <v>2.2999999999999998</v>
      </c>
      <c r="J10" s="22">
        <f>Main!D9</f>
        <v>2.2999999999999998</v>
      </c>
      <c r="K10" s="22">
        <f>Main!C9</f>
        <v>54.797151179694914</v>
      </c>
      <c r="L10" s="22">
        <f>(Main!S9/2)-(Main!D9/2)</f>
        <v>23.85</v>
      </c>
      <c r="M10" s="22">
        <f>Main!C9</f>
        <v>54.797151179694914</v>
      </c>
      <c r="N10" s="22">
        <f>(Main!S9/2)-(Main!D9/2)</f>
        <v>23.85</v>
      </c>
      <c r="O10" s="22">
        <f>Main!C9</f>
        <v>54.797151179694914</v>
      </c>
      <c r="P10" s="22">
        <f>(Main!S9/2)-(Main!D9/2)</f>
        <v>23.85</v>
      </c>
      <c r="Q10" s="22">
        <f>Main!C9</f>
        <v>54.797151179694914</v>
      </c>
      <c r="R10" s="22">
        <f>(Main!S9/2)-(Main!D9/2)</f>
        <v>23.85</v>
      </c>
      <c r="S10" s="22">
        <f>Main!C9</f>
        <v>54.797151179694914</v>
      </c>
      <c r="T10" s="22">
        <f>Main!S9</f>
        <v>50</v>
      </c>
      <c r="U10" s="22">
        <f>Main!S9</f>
        <v>50</v>
      </c>
      <c r="V10" s="22">
        <f>Main!T9</f>
        <v>10</v>
      </c>
      <c r="W10" s="22">
        <f>Main!R9+(Main!U9*2)</f>
        <v>9.1632875363443951</v>
      </c>
      <c r="X10" s="22">
        <f>Main!R9+(Main!U9*2)</f>
        <v>9.1632875363443951</v>
      </c>
      <c r="Y10" s="22">
        <v>3</v>
      </c>
      <c r="Z10" s="22">
        <f>Main!D9</f>
        <v>2.2999999999999998</v>
      </c>
      <c r="AA10" s="22">
        <f>Main!D9</f>
        <v>2.2999999999999998</v>
      </c>
      <c r="AB10" s="22">
        <v>3</v>
      </c>
      <c r="AC10" s="22">
        <f>(Main!R9/2)-(Main!D9/2)</f>
        <v>1.4316437681721976</v>
      </c>
      <c r="AD10" s="22">
        <v>3</v>
      </c>
      <c r="AE10" s="22">
        <f>(Main!R9/2)-(Main!D9/2)</f>
        <v>1.4316437681721976</v>
      </c>
      <c r="AF10" s="22">
        <v>3</v>
      </c>
      <c r="AG10" s="22">
        <f>(Main!R9/2)-(Main!D9/2)</f>
        <v>1.4316437681721976</v>
      </c>
      <c r="AH10" s="22">
        <v>3</v>
      </c>
      <c r="AI10" s="22">
        <f>(Main!R9/2)-(Main!D9/2)</f>
        <v>1.4316437681721976</v>
      </c>
      <c r="AJ10" s="22">
        <v>3</v>
      </c>
    </row>
    <row r="11" spans="1:36" ht="15" customHeight="1" x14ac:dyDescent="0.45">
      <c r="A11" s="22">
        <v>8</v>
      </c>
      <c r="B11" s="22">
        <f>Main!S10+(2*Main!U10)</f>
        <v>54</v>
      </c>
      <c r="C11" s="22">
        <f>Main!S10+(2*Main!U10)</f>
        <v>54</v>
      </c>
      <c r="D11" s="22">
        <f>Main!C10</f>
        <v>53.571762152255161</v>
      </c>
      <c r="E11" s="22">
        <f>(Main!D10/2)+Main!U10</f>
        <v>3.15</v>
      </c>
      <c r="F11" s="22">
        <f>(Main!D10/2)+Main!U10</f>
        <v>3.15</v>
      </c>
      <c r="G11" s="22">
        <f>(Main!D10/2)+Main!U10</f>
        <v>3.15</v>
      </c>
      <c r="H11" s="22">
        <f>(Main!D10/2)+Main!U10</f>
        <v>3.15</v>
      </c>
      <c r="I11" s="22">
        <f>Main!D10</f>
        <v>2.2999999999999998</v>
      </c>
      <c r="J11" s="22">
        <f>Main!D10</f>
        <v>2.2999999999999998</v>
      </c>
      <c r="K11" s="22">
        <f>Main!C10</f>
        <v>53.571762152255161</v>
      </c>
      <c r="L11" s="22">
        <f>(Main!S10/2)-(Main!D10/2)</f>
        <v>23.85</v>
      </c>
      <c r="M11" s="22">
        <f>Main!C10</f>
        <v>53.571762152255161</v>
      </c>
      <c r="N11" s="22">
        <f>(Main!S10/2)-(Main!D10/2)</f>
        <v>23.85</v>
      </c>
      <c r="O11" s="22">
        <f>Main!C10</f>
        <v>53.571762152255161</v>
      </c>
      <c r="P11" s="22">
        <f>(Main!S10/2)-(Main!D10/2)</f>
        <v>23.85</v>
      </c>
      <c r="Q11" s="22">
        <f>Main!C10</f>
        <v>53.571762152255161</v>
      </c>
      <c r="R11" s="22">
        <f>(Main!S10/2)-(Main!D10/2)</f>
        <v>23.85</v>
      </c>
      <c r="S11" s="22">
        <f>Main!C10</f>
        <v>53.571762152255161</v>
      </c>
      <c r="T11" s="22">
        <f>Main!S10</f>
        <v>50</v>
      </c>
      <c r="U11" s="22">
        <f>Main!S10</f>
        <v>50</v>
      </c>
      <c r="V11" s="22">
        <f>Main!T10</f>
        <v>10</v>
      </c>
      <c r="W11" s="22">
        <f>Main!R10+(Main!U10*2)</f>
        <v>9.2287817629384268</v>
      </c>
      <c r="X11" s="22">
        <f>Main!R10+(Main!U10*2)</f>
        <v>9.2287817629384268</v>
      </c>
      <c r="Y11" s="22">
        <v>3</v>
      </c>
      <c r="Z11" s="22">
        <f>Main!D10</f>
        <v>2.2999999999999998</v>
      </c>
      <c r="AA11" s="22">
        <f>Main!D10</f>
        <v>2.2999999999999998</v>
      </c>
      <c r="AB11" s="22">
        <v>3</v>
      </c>
      <c r="AC11" s="22">
        <f>(Main!R10/2)-(Main!D10/2)</f>
        <v>1.4643908814692135</v>
      </c>
      <c r="AD11" s="22">
        <v>3</v>
      </c>
      <c r="AE11" s="22">
        <f>(Main!R10/2)-(Main!D10/2)</f>
        <v>1.4643908814692135</v>
      </c>
      <c r="AF11" s="22">
        <v>3</v>
      </c>
      <c r="AG11" s="22">
        <f>(Main!R10/2)-(Main!D10/2)</f>
        <v>1.4643908814692135</v>
      </c>
      <c r="AH11" s="22">
        <v>3</v>
      </c>
      <c r="AI11" s="22">
        <f>(Main!R10/2)-(Main!D10/2)</f>
        <v>1.4643908814692135</v>
      </c>
      <c r="AJ11" s="22">
        <v>3</v>
      </c>
    </row>
    <row r="12" spans="1:36" ht="15" customHeight="1" x14ac:dyDescent="0.45">
      <c r="A12" s="22">
        <v>9</v>
      </c>
      <c r="B12" s="22">
        <f>Main!S11+(2*Main!U11)</f>
        <v>54</v>
      </c>
      <c r="C12" s="22">
        <f>Main!S11+(2*Main!U11)</f>
        <v>54</v>
      </c>
      <c r="D12" s="22">
        <f>Main!C11</f>
        <v>54.407518077103731</v>
      </c>
      <c r="E12" s="22">
        <f>(Main!D11/2)+Main!U11</f>
        <v>3.15</v>
      </c>
      <c r="F12" s="22">
        <f>(Main!D11/2)+Main!U11</f>
        <v>3.15</v>
      </c>
      <c r="G12" s="22">
        <f>(Main!D11/2)+Main!U11</f>
        <v>3.15</v>
      </c>
      <c r="H12" s="22">
        <f>(Main!D11/2)+Main!U11</f>
        <v>3.15</v>
      </c>
      <c r="I12" s="22">
        <f>Main!D11</f>
        <v>2.2999999999999998</v>
      </c>
      <c r="J12" s="22">
        <f>Main!D11</f>
        <v>2.2999999999999998</v>
      </c>
      <c r="K12" s="22">
        <f>Main!C11</f>
        <v>54.407518077103731</v>
      </c>
      <c r="L12" s="22">
        <f>(Main!S11/2)-(Main!D11/2)</f>
        <v>23.85</v>
      </c>
      <c r="M12" s="22">
        <f>Main!C11</f>
        <v>54.407518077103731</v>
      </c>
      <c r="N12" s="22">
        <f>(Main!S11/2)-(Main!D11/2)</f>
        <v>23.85</v>
      </c>
      <c r="O12" s="22">
        <f>Main!C11</f>
        <v>54.407518077103731</v>
      </c>
      <c r="P12" s="22">
        <f>(Main!S11/2)-(Main!D11/2)</f>
        <v>23.85</v>
      </c>
      <c r="Q12" s="22">
        <f>Main!C11</f>
        <v>54.407518077103731</v>
      </c>
      <c r="R12" s="22">
        <f>(Main!S11/2)-(Main!D11/2)</f>
        <v>23.85</v>
      </c>
      <c r="S12" s="22">
        <f>Main!C11</f>
        <v>54.407518077103731</v>
      </c>
      <c r="T12" s="22">
        <f>Main!S11</f>
        <v>50</v>
      </c>
      <c r="U12" s="22">
        <f>Main!S11</f>
        <v>50</v>
      </c>
      <c r="V12" s="22">
        <f>Main!T11</f>
        <v>10</v>
      </c>
      <c r="W12" s="22">
        <f>Main!R11+(Main!U11*2)</f>
        <v>9.1837926364817601</v>
      </c>
      <c r="X12" s="22">
        <f>Main!R11+(Main!U11*2)</f>
        <v>9.1837926364817601</v>
      </c>
      <c r="Y12" s="22">
        <v>3</v>
      </c>
      <c r="Z12" s="22">
        <f>Main!D11</f>
        <v>2.2999999999999998</v>
      </c>
      <c r="AA12" s="22">
        <f>Main!D11</f>
        <v>2.2999999999999998</v>
      </c>
      <c r="AB12" s="22">
        <v>3</v>
      </c>
      <c r="AC12" s="22">
        <f>(Main!R11/2)-(Main!D11/2)</f>
        <v>1.4418963182408802</v>
      </c>
      <c r="AD12" s="22">
        <v>3</v>
      </c>
      <c r="AE12" s="22">
        <f>(Main!R11/2)-(Main!D11/2)</f>
        <v>1.4418963182408802</v>
      </c>
      <c r="AF12" s="22">
        <v>3</v>
      </c>
      <c r="AG12" s="22">
        <f>(Main!R11/2)-(Main!D11/2)</f>
        <v>1.4418963182408802</v>
      </c>
      <c r="AH12" s="22">
        <v>3</v>
      </c>
      <c r="AI12" s="22">
        <f>(Main!R11/2)-(Main!D11/2)</f>
        <v>1.4418963182408802</v>
      </c>
      <c r="AJ12" s="22">
        <v>3</v>
      </c>
    </row>
    <row r="13" spans="1:36" ht="15" customHeight="1" x14ac:dyDescent="0.45">
      <c r="A13" s="22">
        <v>10</v>
      </c>
      <c r="B13" s="22">
        <f>Main!S12+(2*Main!U12)</f>
        <v>54</v>
      </c>
      <c r="C13" s="22">
        <f>Main!S12+(2*Main!U12)</f>
        <v>54</v>
      </c>
      <c r="D13" s="22">
        <f>Main!C12</f>
        <v>56.979059522021117</v>
      </c>
      <c r="E13" s="22">
        <f>(Main!D12/2)+Main!U12</f>
        <v>3.15</v>
      </c>
      <c r="F13" s="22">
        <f>(Main!D12/2)+Main!U12</f>
        <v>3.15</v>
      </c>
      <c r="G13" s="22">
        <f>(Main!D12/2)+Main!U12</f>
        <v>3.15</v>
      </c>
      <c r="H13" s="22">
        <f>(Main!D12/2)+Main!U12</f>
        <v>3.15</v>
      </c>
      <c r="I13" s="22">
        <f>Main!D12</f>
        <v>2.2999999999999998</v>
      </c>
      <c r="J13" s="22">
        <f>Main!D12</f>
        <v>2.2999999999999998</v>
      </c>
      <c r="K13" s="22">
        <f>Main!C12</f>
        <v>56.979059522021117</v>
      </c>
      <c r="L13" s="22">
        <f>(Main!S12/2)-(Main!D12/2)</f>
        <v>23.85</v>
      </c>
      <c r="M13" s="22">
        <f>Main!C12</f>
        <v>56.979059522021117</v>
      </c>
      <c r="N13" s="22">
        <f>(Main!S12/2)-(Main!D12/2)</f>
        <v>23.85</v>
      </c>
      <c r="O13" s="22">
        <f>Main!C12</f>
        <v>56.979059522021117</v>
      </c>
      <c r="P13" s="22">
        <f>(Main!S12/2)-(Main!D12/2)</f>
        <v>23.85</v>
      </c>
      <c r="Q13" s="22">
        <f>Main!C12</f>
        <v>56.979059522021117</v>
      </c>
      <c r="R13" s="22">
        <f>(Main!S12/2)-(Main!D12/2)</f>
        <v>23.85</v>
      </c>
      <c r="S13" s="22">
        <f>Main!C12</f>
        <v>56.979059522021117</v>
      </c>
      <c r="T13" s="22">
        <f>Main!S12</f>
        <v>50</v>
      </c>
      <c r="U13" s="22">
        <f>Main!S12</f>
        <v>50</v>
      </c>
      <c r="V13" s="22">
        <f>Main!T12</f>
        <v>10</v>
      </c>
      <c r="W13" s="22">
        <f>Main!R12+(Main!U12*2)</f>
        <v>9.0536432035941488</v>
      </c>
      <c r="X13" s="22">
        <f>Main!R12+(Main!U12*2)</f>
        <v>9.0536432035941488</v>
      </c>
      <c r="Y13" s="22">
        <v>3</v>
      </c>
      <c r="Z13" s="22">
        <f>Main!D12</f>
        <v>2.2999999999999998</v>
      </c>
      <c r="AA13" s="22">
        <f>Main!D12</f>
        <v>2.2999999999999998</v>
      </c>
      <c r="AB13" s="22">
        <v>3</v>
      </c>
      <c r="AC13" s="22">
        <f>(Main!R12/2)-(Main!D12/2)</f>
        <v>1.3768216017970749</v>
      </c>
      <c r="AD13" s="22">
        <v>3</v>
      </c>
      <c r="AE13" s="22">
        <f>(Main!R12/2)-(Main!D12/2)</f>
        <v>1.3768216017970749</v>
      </c>
      <c r="AF13" s="22">
        <v>3</v>
      </c>
      <c r="AG13" s="22">
        <f>(Main!R12/2)-(Main!D12/2)</f>
        <v>1.3768216017970749</v>
      </c>
      <c r="AH13" s="22">
        <v>3</v>
      </c>
      <c r="AI13" s="22">
        <f>(Main!R12/2)-(Main!D12/2)</f>
        <v>1.3768216017970749</v>
      </c>
      <c r="AJ13" s="22">
        <v>3</v>
      </c>
    </row>
    <row r="14" spans="1:36" ht="15" customHeight="1" x14ac:dyDescent="0.45">
      <c r="A14" s="22">
        <v>11</v>
      </c>
      <c r="B14" s="22">
        <f>Main!S13+(2*Main!U13)</f>
        <v>54</v>
      </c>
      <c r="C14" s="22">
        <f>Main!S13+(2*Main!U13)</f>
        <v>54</v>
      </c>
      <c r="D14" s="22">
        <f>Main!C13</f>
        <v>60.741524539105065</v>
      </c>
      <c r="E14" s="22">
        <f>(Main!D13/2)+Main!U13</f>
        <v>3.15</v>
      </c>
      <c r="F14" s="22">
        <f>(Main!D13/2)+Main!U13</f>
        <v>3.15</v>
      </c>
      <c r="G14" s="22">
        <f>(Main!D13/2)+Main!U13</f>
        <v>3.15</v>
      </c>
      <c r="H14" s="22">
        <f>(Main!D13/2)+Main!U13</f>
        <v>3.15</v>
      </c>
      <c r="I14" s="22">
        <f>Main!D13</f>
        <v>2.2999999999999998</v>
      </c>
      <c r="J14" s="22">
        <f>Main!D13</f>
        <v>2.2999999999999998</v>
      </c>
      <c r="K14" s="22">
        <f>Main!C13</f>
        <v>60.741524539105065</v>
      </c>
      <c r="L14" s="22">
        <f>(Main!S13/2)-(Main!D13/2)</f>
        <v>23.85</v>
      </c>
      <c r="M14" s="22">
        <f>Main!C13</f>
        <v>60.741524539105065</v>
      </c>
      <c r="N14" s="22">
        <f>(Main!S13/2)-(Main!D13/2)</f>
        <v>23.85</v>
      </c>
      <c r="O14" s="22">
        <f>Main!C13</f>
        <v>60.741524539105065</v>
      </c>
      <c r="P14" s="22">
        <f>(Main!S13/2)-(Main!D13/2)</f>
        <v>23.85</v>
      </c>
      <c r="Q14" s="22">
        <f>Main!C13</f>
        <v>60.741524539105065</v>
      </c>
      <c r="R14" s="22">
        <f>(Main!S13/2)-(Main!D13/2)</f>
        <v>23.85</v>
      </c>
      <c r="S14" s="22">
        <f>Main!C13</f>
        <v>60.741524539105065</v>
      </c>
      <c r="T14" s="22">
        <f>Main!S13</f>
        <v>50</v>
      </c>
      <c r="U14" s="22">
        <f>Main!S13</f>
        <v>50</v>
      </c>
      <c r="V14" s="22">
        <f>Main!T13</f>
        <v>10</v>
      </c>
      <c r="W14" s="22">
        <f>Main!R13+(Main!U13*2)</f>
        <v>8.8830764240859423</v>
      </c>
      <c r="X14" s="22">
        <f>Main!R13+(Main!U13*2)</f>
        <v>8.8830764240859423</v>
      </c>
      <c r="Y14" s="22">
        <v>3</v>
      </c>
      <c r="Z14" s="22">
        <f>Main!D13</f>
        <v>2.2999999999999998</v>
      </c>
      <c r="AA14" s="22">
        <f>Main!D13</f>
        <v>2.2999999999999998</v>
      </c>
      <c r="AB14" s="22">
        <v>3</v>
      </c>
      <c r="AC14" s="22">
        <f>(Main!R13/2)-(Main!D13/2)</f>
        <v>1.2915382120429708</v>
      </c>
      <c r="AD14" s="22">
        <v>3</v>
      </c>
      <c r="AE14" s="22">
        <f>(Main!R13/2)-(Main!D13/2)</f>
        <v>1.2915382120429708</v>
      </c>
      <c r="AF14" s="22">
        <v>3</v>
      </c>
      <c r="AG14" s="22">
        <f>(Main!R13/2)-(Main!D13/2)</f>
        <v>1.2915382120429708</v>
      </c>
      <c r="AH14" s="22">
        <v>3</v>
      </c>
      <c r="AI14" s="22">
        <f>(Main!R13/2)-(Main!D13/2)</f>
        <v>1.2915382120429708</v>
      </c>
      <c r="AJ14" s="22">
        <v>3</v>
      </c>
    </row>
    <row r="15" spans="1:36" ht="15" customHeight="1" x14ac:dyDescent="0.45">
      <c r="A15" s="22">
        <v>12</v>
      </c>
      <c r="B15" s="22">
        <f>Main!S14+(2*Main!U14)</f>
        <v>54</v>
      </c>
      <c r="C15" s="22">
        <f>Main!S14+(2*Main!U14)</f>
        <v>54</v>
      </c>
      <c r="D15" s="22">
        <f>Main!C14</f>
        <v>65.028733114332397</v>
      </c>
      <c r="E15" s="22">
        <f>(Main!D14/2)+Main!U14</f>
        <v>3.15</v>
      </c>
      <c r="F15" s="22">
        <f>(Main!D14/2)+Main!U14</f>
        <v>3.15</v>
      </c>
      <c r="G15" s="22">
        <f>(Main!D14/2)+Main!U14</f>
        <v>3.15</v>
      </c>
      <c r="H15" s="22">
        <f>(Main!D14/2)+Main!U14</f>
        <v>3.15</v>
      </c>
      <c r="I15" s="22">
        <f>Main!D14</f>
        <v>2.2999999999999998</v>
      </c>
      <c r="J15" s="22">
        <f>Main!D14</f>
        <v>2.2999999999999998</v>
      </c>
      <c r="K15" s="22">
        <f>Main!C14</f>
        <v>65.028733114332397</v>
      </c>
      <c r="L15" s="22">
        <f>(Main!S14/2)-(Main!D14/2)</f>
        <v>23.85</v>
      </c>
      <c r="M15" s="22">
        <f>Main!C14</f>
        <v>65.028733114332397</v>
      </c>
      <c r="N15" s="22">
        <f>(Main!S14/2)-(Main!D14/2)</f>
        <v>23.85</v>
      </c>
      <c r="O15" s="22">
        <f>Main!C14</f>
        <v>65.028733114332397</v>
      </c>
      <c r="P15" s="22">
        <f>(Main!S14/2)-(Main!D14/2)</f>
        <v>23.85</v>
      </c>
      <c r="Q15" s="22">
        <f>Main!C14</f>
        <v>65.028733114332397</v>
      </c>
      <c r="R15" s="22">
        <f>(Main!S14/2)-(Main!D14/2)</f>
        <v>23.85</v>
      </c>
      <c r="S15" s="22">
        <f>Main!C14</f>
        <v>65.028733114332397</v>
      </c>
      <c r="T15" s="22">
        <f>Main!S14</f>
        <v>50</v>
      </c>
      <c r="U15" s="22">
        <f>Main!S14</f>
        <v>50</v>
      </c>
      <c r="V15" s="22">
        <f>Main!T14</f>
        <v>10</v>
      </c>
      <c r="W15" s="22">
        <f>Main!R14+(Main!U14*2)</f>
        <v>8.712779589664482</v>
      </c>
      <c r="X15" s="22">
        <f>Main!R14+(Main!U14*2)</f>
        <v>8.712779589664482</v>
      </c>
      <c r="Y15" s="22">
        <v>3</v>
      </c>
      <c r="Z15" s="22">
        <f>Main!D14</f>
        <v>2.2999999999999998</v>
      </c>
      <c r="AA15" s="22">
        <f>Main!D14</f>
        <v>2.2999999999999998</v>
      </c>
      <c r="AB15" s="22">
        <v>3</v>
      </c>
      <c r="AC15" s="22">
        <f>(Main!R14/2)-(Main!D14/2)</f>
        <v>1.2063897948322411</v>
      </c>
      <c r="AD15" s="22">
        <v>3</v>
      </c>
      <c r="AE15" s="22">
        <f>(Main!R14/2)-(Main!D14/2)</f>
        <v>1.2063897948322411</v>
      </c>
      <c r="AF15" s="22">
        <v>3</v>
      </c>
      <c r="AG15" s="22">
        <f>(Main!R14/2)-(Main!D14/2)</f>
        <v>1.2063897948322411</v>
      </c>
      <c r="AH15" s="22">
        <v>3</v>
      </c>
      <c r="AI15" s="22">
        <f>(Main!R14/2)-(Main!D14/2)</f>
        <v>1.2063897948322411</v>
      </c>
      <c r="AJ15" s="22">
        <v>3</v>
      </c>
    </row>
    <row r="16" spans="1:36" ht="15" customHeight="1" x14ac:dyDescent="0.45">
      <c r="A16" s="22">
        <v>13</v>
      </c>
      <c r="B16" s="22">
        <f>Main!S15+(2*Main!U15)</f>
        <v>54</v>
      </c>
      <c r="C16" s="22">
        <f>Main!S15+(2*Main!U15)</f>
        <v>54</v>
      </c>
      <c r="D16" s="22">
        <f>Main!C15</f>
        <v>69.141984211777583</v>
      </c>
      <c r="E16" s="22">
        <f>(Main!D15/2)+Main!U15</f>
        <v>3.15</v>
      </c>
      <c r="F16" s="22">
        <f>(Main!D15/2)+Main!U15</f>
        <v>3.15</v>
      </c>
      <c r="G16" s="22">
        <f>(Main!D15/2)+Main!U15</f>
        <v>3.15</v>
      </c>
      <c r="H16" s="22">
        <f>(Main!D15/2)+Main!U15</f>
        <v>3.15</v>
      </c>
      <c r="I16" s="22">
        <f>Main!D15</f>
        <v>2.2999999999999998</v>
      </c>
      <c r="J16" s="22">
        <f>Main!D15</f>
        <v>2.2999999999999998</v>
      </c>
      <c r="K16" s="22">
        <f>Main!C15</f>
        <v>69.141984211777583</v>
      </c>
      <c r="L16" s="22">
        <f>(Main!S15/2)-(Main!D15/2)</f>
        <v>23.85</v>
      </c>
      <c r="M16" s="22">
        <f>Main!C15</f>
        <v>69.141984211777583</v>
      </c>
      <c r="N16" s="22">
        <f>(Main!S15/2)-(Main!D15/2)</f>
        <v>23.85</v>
      </c>
      <c r="O16" s="22">
        <f>Main!C15</f>
        <v>69.141984211777583</v>
      </c>
      <c r="P16" s="22">
        <f>(Main!S15/2)-(Main!D15/2)</f>
        <v>23.85</v>
      </c>
      <c r="Q16" s="22">
        <f>Main!C15</f>
        <v>69.141984211777583</v>
      </c>
      <c r="R16" s="22">
        <f>(Main!S15/2)-(Main!D15/2)</f>
        <v>23.85</v>
      </c>
      <c r="S16" s="22">
        <f>Main!C15</f>
        <v>69.141984211777583</v>
      </c>
      <c r="T16" s="22">
        <f>Main!S15</f>
        <v>50</v>
      </c>
      <c r="U16" s="22">
        <f>Main!S15</f>
        <v>50</v>
      </c>
      <c r="V16" s="22">
        <f>Main!T15</f>
        <v>10</v>
      </c>
      <c r="W16" s="22">
        <f>Main!R15+(Main!U15*2)</f>
        <v>8.5692435253148815</v>
      </c>
      <c r="X16" s="22">
        <f>Main!R15+(Main!U15*2)</f>
        <v>8.5692435253148815</v>
      </c>
      <c r="Y16" s="22">
        <v>3</v>
      </c>
      <c r="Z16" s="22">
        <f>Main!D15</f>
        <v>2.2999999999999998</v>
      </c>
      <c r="AA16" s="22">
        <f>Main!D15</f>
        <v>2.2999999999999998</v>
      </c>
      <c r="AB16" s="22">
        <v>3</v>
      </c>
      <c r="AC16" s="22">
        <f>(Main!R15/2)-(Main!D15/2)</f>
        <v>1.1346217626574409</v>
      </c>
      <c r="AD16" s="22">
        <v>3</v>
      </c>
      <c r="AE16" s="22">
        <f>(Main!R15/2)-(Main!D15/2)</f>
        <v>1.1346217626574409</v>
      </c>
      <c r="AF16" s="22">
        <v>3</v>
      </c>
      <c r="AG16" s="22">
        <f>(Main!R15/2)-(Main!D15/2)</f>
        <v>1.1346217626574409</v>
      </c>
      <c r="AH16" s="22">
        <v>3</v>
      </c>
      <c r="AI16" s="22">
        <f>(Main!R15/2)-(Main!D15/2)</f>
        <v>1.1346217626574409</v>
      </c>
      <c r="AJ16" s="22">
        <v>3</v>
      </c>
    </row>
    <row r="17" spans="1:36" ht="15" customHeight="1" x14ac:dyDescent="0.45">
      <c r="A17" s="22">
        <v>14</v>
      </c>
      <c r="B17" s="22">
        <f>Main!S16+(2*Main!U16)</f>
        <v>54</v>
      </c>
      <c r="C17" s="22">
        <f>Main!S16+(2*Main!U16)</f>
        <v>54</v>
      </c>
      <c r="D17" s="22">
        <f>Main!C16</f>
        <v>72.523027324148345</v>
      </c>
      <c r="E17" s="22">
        <f>(Main!D16/2)+Main!U16</f>
        <v>3.15</v>
      </c>
      <c r="F17" s="22">
        <f>(Main!D16/2)+Main!U16</f>
        <v>3.15</v>
      </c>
      <c r="G17" s="22">
        <f>(Main!D16/2)+Main!U16</f>
        <v>3.15</v>
      </c>
      <c r="H17" s="22">
        <f>(Main!D16/2)+Main!U16</f>
        <v>3.15</v>
      </c>
      <c r="I17" s="22">
        <f>Main!D16</f>
        <v>2.2999999999999998</v>
      </c>
      <c r="J17" s="22">
        <f>Main!D16</f>
        <v>2.2999999999999998</v>
      </c>
      <c r="K17" s="22">
        <f>Main!C16</f>
        <v>72.523027324148345</v>
      </c>
      <c r="L17" s="22">
        <f>(Main!S16/2)-(Main!D16/2)</f>
        <v>23.85</v>
      </c>
      <c r="M17" s="22">
        <f>Main!C16</f>
        <v>72.523027324148345</v>
      </c>
      <c r="N17" s="22">
        <f>(Main!S16/2)-(Main!D16/2)</f>
        <v>23.85</v>
      </c>
      <c r="O17" s="22">
        <f>Main!C16</f>
        <v>72.523027324148345</v>
      </c>
      <c r="P17" s="22">
        <f>(Main!S16/2)-(Main!D16/2)</f>
        <v>23.85</v>
      </c>
      <c r="Q17" s="22">
        <f>Main!C16</f>
        <v>72.523027324148345</v>
      </c>
      <c r="R17" s="22">
        <f>(Main!S16/2)-(Main!D16/2)</f>
        <v>23.85</v>
      </c>
      <c r="S17" s="22">
        <f>Main!C16</f>
        <v>72.523027324148345</v>
      </c>
      <c r="T17" s="22">
        <f>Main!S16</f>
        <v>50</v>
      </c>
      <c r="U17" s="22">
        <f>Main!S16</f>
        <v>50</v>
      </c>
      <c r="V17" s="22">
        <f>Main!T16</f>
        <v>10</v>
      </c>
      <c r="W17" s="22">
        <f>Main!R16+(Main!U16*2)</f>
        <v>8.4634507795533818</v>
      </c>
      <c r="X17" s="22">
        <f>Main!R16+(Main!U16*2)</f>
        <v>8.4634507795533818</v>
      </c>
      <c r="Y17" s="22">
        <v>3</v>
      </c>
      <c r="Z17" s="22">
        <f>Main!D16</f>
        <v>2.2999999999999998</v>
      </c>
      <c r="AA17" s="22">
        <f>Main!D16</f>
        <v>2.2999999999999998</v>
      </c>
      <c r="AB17" s="22">
        <v>3</v>
      </c>
      <c r="AC17" s="22">
        <f>(Main!R16/2)-(Main!D16/2)</f>
        <v>1.081725389776691</v>
      </c>
      <c r="AD17" s="22">
        <v>3</v>
      </c>
      <c r="AE17" s="22">
        <f>(Main!R16/2)-(Main!D16/2)</f>
        <v>1.081725389776691</v>
      </c>
      <c r="AF17" s="22">
        <v>3</v>
      </c>
      <c r="AG17" s="22">
        <f>(Main!R16/2)-(Main!D16/2)</f>
        <v>1.081725389776691</v>
      </c>
      <c r="AH17" s="22">
        <v>3</v>
      </c>
      <c r="AI17" s="22">
        <f>(Main!R16/2)-(Main!D16/2)</f>
        <v>1.081725389776691</v>
      </c>
      <c r="AJ17" s="22">
        <v>3</v>
      </c>
    </row>
    <row r="18" spans="1:36" ht="15" customHeight="1" x14ac:dyDescent="0.45">
      <c r="A18" s="22">
        <v>15</v>
      </c>
      <c r="B18" s="22">
        <f>Main!S17+(2*Main!U17)</f>
        <v>54</v>
      </c>
      <c r="C18" s="22">
        <f>Main!S17+(2*Main!U17)</f>
        <v>54</v>
      </c>
      <c r="D18" s="22">
        <f>Main!C17</f>
        <v>74.90315784053459</v>
      </c>
      <c r="E18" s="22">
        <f>(Main!D17/2)+Main!U17</f>
        <v>3.15</v>
      </c>
      <c r="F18" s="22">
        <f>(Main!D17/2)+Main!U17</f>
        <v>3.15</v>
      </c>
      <c r="G18" s="22">
        <f>(Main!D17/2)+Main!U17</f>
        <v>3.15</v>
      </c>
      <c r="H18" s="22">
        <f>(Main!D17/2)+Main!U17</f>
        <v>3.15</v>
      </c>
      <c r="I18" s="22">
        <f>Main!D17</f>
        <v>2.2999999999999998</v>
      </c>
      <c r="J18" s="22">
        <f>Main!D17</f>
        <v>2.2999999999999998</v>
      </c>
      <c r="K18" s="22">
        <f>Main!C17</f>
        <v>74.90315784053459</v>
      </c>
      <c r="L18" s="22">
        <f>(Main!S17/2)-(Main!D17/2)</f>
        <v>23.85</v>
      </c>
      <c r="M18" s="22">
        <f>Main!C17</f>
        <v>74.90315784053459</v>
      </c>
      <c r="N18" s="22">
        <f>(Main!S17/2)-(Main!D17/2)</f>
        <v>23.85</v>
      </c>
      <c r="O18" s="22">
        <f>Main!C17</f>
        <v>74.90315784053459</v>
      </c>
      <c r="P18" s="22">
        <f>(Main!S17/2)-(Main!D17/2)</f>
        <v>23.85</v>
      </c>
      <c r="Q18" s="22">
        <f>Main!C17</f>
        <v>74.90315784053459</v>
      </c>
      <c r="R18" s="22">
        <f>(Main!S17/2)-(Main!D17/2)</f>
        <v>23.85</v>
      </c>
      <c r="S18" s="22">
        <f>Main!C17</f>
        <v>74.90315784053459</v>
      </c>
      <c r="T18" s="22">
        <f>Main!S17</f>
        <v>50</v>
      </c>
      <c r="U18" s="22">
        <f>Main!S17</f>
        <v>50</v>
      </c>
      <c r="V18" s="22">
        <f>Main!T17</f>
        <v>10</v>
      </c>
      <c r="W18" s="22">
        <f>Main!R17+(Main!U17*2)</f>
        <v>8.3947047430768258</v>
      </c>
      <c r="X18" s="22">
        <f>Main!R17+(Main!U17*2)</f>
        <v>8.3947047430768258</v>
      </c>
      <c r="Y18" s="22">
        <v>3</v>
      </c>
      <c r="Z18" s="22">
        <f>Main!D17</f>
        <v>2.2999999999999998</v>
      </c>
      <c r="AA18" s="22">
        <f>Main!D17</f>
        <v>2.2999999999999998</v>
      </c>
      <c r="AB18" s="22">
        <v>3</v>
      </c>
      <c r="AC18" s="22">
        <f>(Main!R17/2)-(Main!D17/2)</f>
        <v>1.047352371538413</v>
      </c>
      <c r="AD18" s="22">
        <v>3</v>
      </c>
      <c r="AE18" s="22">
        <f>(Main!R17/2)-(Main!D17/2)</f>
        <v>1.047352371538413</v>
      </c>
      <c r="AF18" s="22">
        <v>3</v>
      </c>
      <c r="AG18" s="22">
        <f>(Main!R17/2)-(Main!D17/2)</f>
        <v>1.047352371538413</v>
      </c>
      <c r="AH18" s="22">
        <v>3</v>
      </c>
      <c r="AI18" s="22">
        <f>(Main!R17/2)-(Main!D17/2)</f>
        <v>1.047352371538413</v>
      </c>
      <c r="AJ18" s="22">
        <v>3</v>
      </c>
    </row>
    <row r="19" spans="1:36" ht="15" customHeight="1" x14ac:dyDescent="0.45">
      <c r="A19" s="22">
        <v>16</v>
      </c>
      <c r="B19" s="22">
        <f>Main!S18+(2*Main!U18)</f>
        <v>54</v>
      </c>
      <c r="C19" s="22">
        <f>Main!S18+(2*Main!U18)</f>
        <v>54</v>
      </c>
      <c r="D19" s="22">
        <f>Main!C18</f>
        <v>76.332661146866826</v>
      </c>
      <c r="E19" s="22">
        <f>(Main!D18/2)+Main!U18</f>
        <v>3.15</v>
      </c>
      <c r="F19" s="22">
        <f>(Main!D18/2)+Main!U18</f>
        <v>3.15</v>
      </c>
      <c r="G19" s="22">
        <f>(Main!D18/2)+Main!U18</f>
        <v>3.15</v>
      </c>
      <c r="H19" s="22">
        <f>(Main!D18/2)+Main!U18</f>
        <v>3.15</v>
      </c>
      <c r="I19" s="22">
        <f>Main!D18</f>
        <v>2.2999999999999998</v>
      </c>
      <c r="J19" s="22">
        <f>Main!D18</f>
        <v>2.2999999999999998</v>
      </c>
      <c r="K19" s="22">
        <f>Main!C18</f>
        <v>76.332661146866826</v>
      </c>
      <c r="L19" s="22">
        <f>(Main!S18/2)-(Main!D18/2)</f>
        <v>23.85</v>
      </c>
      <c r="M19" s="22">
        <f>Main!C18</f>
        <v>76.332661146866826</v>
      </c>
      <c r="N19" s="22">
        <f>(Main!S18/2)-(Main!D18/2)</f>
        <v>23.85</v>
      </c>
      <c r="O19" s="22">
        <f>Main!C18</f>
        <v>76.332661146866826</v>
      </c>
      <c r="P19" s="22">
        <f>(Main!S18/2)-(Main!D18/2)</f>
        <v>23.85</v>
      </c>
      <c r="Q19" s="22">
        <f>Main!C18</f>
        <v>76.332661146866826</v>
      </c>
      <c r="R19" s="22">
        <f>(Main!S18/2)-(Main!D18/2)</f>
        <v>23.85</v>
      </c>
      <c r="S19" s="22">
        <f>Main!C18</f>
        <v>76.332661146866826</v>
      </c>
      <c r="T19" s="22">
        <f>Main!S18</f>
        <v>50</v>
      </c>
      <c r="U19" s="22">
        <f>Main!S18</f>
        <v>50</v>
      </c>
      <c r="V19" s="22">
        <f>Main!T18</f>
        <v>10</v>
      </c>
      <c r="W19" s="22">
        <f>Main!R18+(Main!U18*2)</f>
        <v>8.3554766156798674</v>
      </c>
      <c r="X19" s="22">
        <f>Main!R18+(Main!U18*2)</f>
        <v>8.3554766156798674</v>
      </c>
      <c r="Y19" s="22">
        <v>3</v>
      </c>
      <c r="Z19" s="22">
        <f>Main!D18</f>
        <v>2.2999999999999998</v>
      </c>
      <c r="AA19" s="22">
        <f>Main!D18</f>
        <v>2.2999999999999998</v>
      </c>
      <c r="AB19" s="22">
        <v>3</v>
      </c>
      <c r="AC19" s="22">
        <f>(Main!R18/2)-(Main!D18/2)</f>
        <v>1.0277383078399338</v>
      </c>
      <c r="AD19" s="22">
        <v>3</v>
      </c>
      <c r="AE19" s="22">
        <f>(Main!R18/2)-(Main!D18/2)</f>
        <v>1.0277383078399338</v>
      </c>
      <c r="AF19" s="22">
        <v>3</v>
      </c>
      <c r="AG19" s="22">
        <f>(Main!R18/2)-(Main!D18/2)</f>
        <v>1.0277383078399338</v>
      </c>
      <c r="AH19" s="22">
        <v>3</v>
      </c>
      <c r="AI19" s="22">
        <f>(Main!R18/2)-(Main!D18/2)</f>
        <v>1.0277383078399338</v>
      </c>
      <c r="AJ19" s="22">
        <v>3</v>
      </c>
    </row>
    <row r="20" spans="1:36" ht="15" customHeight="1" x14ac:dyDescent="0.45">
      <c r="A20" s="22">
        <v>17</v>
      </c>
      <c r="B20" s="22">
        <f>Main!S19+(2*Main!U19)</f>
        <v>54</v>
      </c>
      <c r="C20" s="22">
        <f>Main!S19+(2*Main!U19)</f>
        <v>54</v>
      </c>
      <c r="D20" s="22">
        <f>Main!C19</f>
        <v>77.094853118342996</v>
      </c>
      <c r="E20" s="22">
        <f>(Main!D19/2)+Main!U19</f>
        <v>3.15</v>
      </c>
      <c r="F20" s="22">
        <f>(Main!D19/2)+Main!U19</f>
        <v>3.15</v>
      </c>
      <c r="G20" s="22">
        <f>(Main!D19/2)+Main!U19</f>
        <v>3.15</v>
      </c>
      <c r="H20" s="22">
        <f>(Main!D19/2)+Main!U19</f>
        <v>3.15</v>
      </c>
      <c r="I20" s="22">
        <f>Main!D19</f>
        <v>2.2999999999999998</v>
      </c>
      <c r="J20" s="22">
        <f>Main!D19</f>
        <v>2.2999999999999998</v>
      </c>
      <c r="K20" s="22">
        <f>Main!C19</f>
        <v>77.094853118342996</v>
      </c>
      <c r="L20" s="22">
        <f>(Main!S19/2)-(Main!D19/2)</f>
        <v>23.85</v>
      </c>
      <c r="M20" s="22">
        <f>Main!C19</f>
        <v>77.094853118342996</v>
      </c>
      <c r="N20" s="22">
        <f>(Main!S19/2)-(Main!D19/2)</f>
        <v>23.85</v>
      </c>
      <c r="O20" s="22">
        <f>Main!C19</f>
        <v>77.094853118342996</v>
      </c>
      <c r="P20" s="22">
        <f>(Main!S19/2)-(Main!D19/2)</f>
        <v>23.85</v>
      </c>
      <c r="Q20" s="22">
        <f>Main!C19</f>
        <v>77.094853118342996</v>
      </c>
      <c r="R20" s="22">
        <f>(Main!S19/2)-(Main!D19/2)</f>
        <v>23.85</v>
      </c>
      <c r="S20" s="22">
        <f>Main!C19</f>
        <v>77.094853118342996</v>
      </c>
      <c r="T20" s="22">
        <f>Main!S19</f>
        <v>50</v>
      </c>
      <c r="U20" s="22">
        <f>Main!S19</f>
        <v>50</v>
      </c>
      <c r="V20" s="22">
        <f>Main!T19</f>
        <v>10</v>
      </c>
      <c r="W20" s="22">
        <f>Main!R19+(Main!U19*2)</f>
        <v>8.3351553139241812</v>
      </c>
      <c r="X20" s="22">
        <f>Main!R19+(Main!U19*2)</f>
        <v>8.3351553139241812</v>
      </c>
      <c r="Y20" s="22">
        <v>3</v>
      </c>
      <c r="Z20" s="22">
        <f>Main!D19</f>
        <v>2.2999999999999998</v>
      </c>
      <c r="AA20" s="22">
        <f>Main!D19</f>
        <v>2.2999999999999998</v>
      </c>
      <c r="AB20" s="22">
        <v>3</v>
      </c>
      <c r="AC20" s="22">
        <f>(Main!R19/2)-(Main!D19/2)</f>
        <v>1.0175776569620907</v>
      </c>
      <c r="AD20" s="22">
        <v>3</v>
      </c>
      <c r="AE20" s="22">
        <f>(Main!R19/2)-(Main!D19/2)</f>
        <v>1.0175776569620907</v>
      </c>
      <c r="AF20" s="22">
        <v>3</v>
      </c>
      <c r="AG20" s="22">
        <f>(Main!R19/2)-(Main!D19/2)</f>
        <v>1.0175776569620907</v>
      </c>
      <c r="AH20" s="22">
        <v>3</v>
      </c>
      <c r="AI20" s="22">
        <f>(Main!R19/2)-(Main!D19/2)</f>
        <v>1.0175776569620907</v>
      </c>
      <c r="AJ20" s="22">
        <v>3</v>
      </c>
    </row>
    <row r="21" spans="1:36" ht="15" customHeight="1" x14ac:dyDescent="0.45">
      <c r="A21" s="22">
        <v>18</v>
      </c>
      <c r="B21" s="22">
        <f>Main!S20+(2*Main!U20)</f>
        <v>54</v>
      </c>
      <c r="C21" s="22">
        <f>Main!S20+(2*Main!U20)</f>
        <v>54</v>
      </c>
      <c r="D21" s="22">
        <f>Main!C20</f>
        <v>77.570276742787186</v>
      </c>
      <c r="E21" s="22">
        <f>(Main!D20/2)+Main!U20</f>
        <v>3.15</v>
      </c>
      <c r="F21" s="22">
        <f>(Main!D20/2)+Main!U20</f>
        <v>3.15</v>
      </c>
      <c r="G21" s="22">
        <f>(Main!D20/2)+Main!U20</f>
        <v>3.15</v>
      </c>
      <c r="H21" s="22">
        <f>(Main!D20/2)+Main!U20</f>
        <v>3.15</v>
      </c>
      <c r="I21" s="22">
        <f>Main!D20</f>
        <v>2.2999999999999998</v>
      </c>
      <c r="J21" s="22">
        <f>Main!D20</f>
        <v>2.2999999999999998</v>
      </c>
      <c r="K21" s="22">
        <f>Main!C20</f>
        <v>77.570276742787186</v>
      </c>
      <c r="L21" s="22">
        <f>(Main!S20/2)-(Main!D20/2)</f>
        <v>23.85</v>
      </c>
      <c r="M21" s="22">
        <f>Main!C20</f>
        <v>77.570276742787186</v>
      </c>
      <c r="N21" s="22">
        <f>(Main!S20/2)-(Main!D20/2)</f>
        <v>23.85</v>
      </c>
      <c r="O21" s="22">
        <f>Main!C20</f>
        <v>77.570276742787186</v>
      </c>
      <c r="P21" s="22">
        <f>(Main!S20/2)-(Main!D20/2)</f>
        <v>23.85</v>
      </c>
      <c r="Q21" s="22">
        <f>Main!C20</f>
        <v>77.570276742787186</v>
      </c>
      <c r="R21" s="22">
        <f>(Main!S20/2)-(Main!D20/2)</f>
        <v>23.85</v>
      </c>
      <c r="S21" s="22">
        <f>Main!C20</f>
        <v>77.570276742787186</v>
      </c>
      <c r="T21" s="22">
        <f>Main!S20</f>
        <v>50</v>
      </c>
      <c r="U21" s="22">
        <f>Main!S20</f>
        <v>50</v>
      </c>
      <c r="V21" s="22">
        <f>Main!T20</f>
        <v>10</v>
      </c>
      <c r="W21" s="22">
        <f>Main!R20+(Main!U20*2)</f>
        <v>8.3226819677369424</v>
      </c>
      <c r="X21" s="22">
        <f>Main!R20+(Main!U20*2)</f>
        <v>8.3226819677369424</v>
      </c>
      <c r="Y21" s="22">
        <v>3</v>
      </c>
      <c r="Z21" s="22">
        <f>Main!D20</f>
        <v>2.2999999999999998</v>
      </c>
      <c r="AA21" s="22">
        <f>Main!D20</f>
        <v>2.2999999999999998</v>
      </c>
      <c r="AB21" s="22">
        <v>3</v>
      </c>
      <c r="AC21" s="22">
        <f>(Main!R20/2)-(Main!D20/2)</f>
        <v>1.0113409838684713</v>
      </c>
      <c r="AD21" s="22">
        <v>3</v>
      </c>
      <c r="AE21" s="22">
        <f>(Main!R20/2)-(Main!D20/2)</f>
        <v>1.0113409838684713</v>
      </c>
      <c r="AF21" s="22">
        <v>3</v>
      </c>
      <c r="AG21" s="22">
        <f>(Main!R20/2)-(Main!D20/2)</f>
        <v>1.0113409838684713</v>
      </c>
      <c r="AH21" s="22">
        <v>3</v>
      </c>
      <c r="AI21" s="22">
        <f>(Main!R20/2)-(Main!D20/2)</f>
        <v>1.0113409838684713</v>
      </c>
      <c r="AJ21" s="22">
        <v>3</v>
      </c>
    </row>
    <row r="22" spans="1:36" ht="15" customHeight="1" x14ac:dyDescent="0.45">
      <c r="A22" s="22">
        <v>19</v>
      </c>
      <c r="B22" s="22">
        <f>Main!S21+(2*Main!U21)</f>
        <v>54</v>
      </c>
      <c r="C22" s="22">
        <f>Main!S21+(2*Main!U21)</f>
        <v>54</v>
      </c>
      <c r="D22" s="22">
        <f>Main!C21</f>
        <v>78.118721621072226</v>
      </c>
      <c r="E22" s="22">
        <f>(Main!D21/2)+Main!U21</f>
        <v>3.15</v>
      </c>
      <c r="F22" s="22">
        <f>(Main!D21/2)+Main!U21</f>
        <v>3.15</v>
      </c>
      <c r="G22" s="22">
        <f>(Main!D21/2)+Main!U21</f>
        <v>3.15</v>
      </c>
      <c r="H22" s="22">
        <f>(Main!D21/2)+Main!U21</f>
        <v>3.15</v>
      </c>
      <c r="I22" s="22">
        <f>Main!D21</f>
        <v>2.2999999999999998</v>
      </c>
      <c r="J22" s="22">
        <f>Main!D21</f>
        <v>2.2999999999999998</v>
      </c>
      <c r="K22" s="22">
        <f>Main!C21</f>
        <v>78.118721621072226</v>
      </c>
      <c r="L22" s="22">
        <f>(Main!S21/2)-(Main!D21/2)</f>
        <v>23.85</v>
      </c>
      <c r="M22" s="22">
        <f>Main!C21</f>
        <v>78.118721621072226</v>
      </c>
      <c r="N22" s="22">
        <f>(Main!S21/2)-(Main!D21/2)</f>
        <v>23.85</v>
      </c>
      <c r="O22" s="22">
        <f>Main!C21</f>
        <v>78.118721621072226</v>
      </c>
      <c r="P22" s="22">
        <f>(Main!S21/2)-(Main!D21/2)</f>
        <v>23.85</v>
      </c>
      <c r="Q22" s="22">
        <f>Main!C21</f>
        <v>78.118721621072226</v>
      </c>
      <c r="R22" s="22">
        <f>(Main!S21/2)-(Main!D21/2)</f>
        <v>23.85</v>
      </c>
      <c r="S22" s="22">
        <f>Main!C21</f>
        <v>78.118721621072226</v>
      </c>
      <c r="T22" s="22">
        <f>Main!S21</f>
        <v>50</v>
      </c>
      <c r="U22" s="22">
        <f>Main!S21</f>
        <v>50</v>
      </c>
      <c r="V22" s="22">
        <f>Main!T21</f>
        <v>10</v>
      </c>
      <c r="W22" s="22">
        <f>Main!R21+(Main!U21*2)</f>
        <v>8.308481408094071</v>
      </c>
      <c r="X22" s="22">
        <f>Main!R21+(Main!U21*2)</f>
        <v>8.308481408094071</v>
      </c>
      <c r="Y22" s="22">
        <v>3</v>
      </c>
      <c r="Z22" s="22">
        <f>Main!D21</f>
        <v>2.2999999999999998</v>
      </c>
      <c r="AA22" s="22">
        <f>Main!D21</f>
        <v>2.2999999999999998</v>
      </c>
      <c r="AB22" s="22">
        <v>3</v>
      </c>
      <c r="AC22" s="22">
        <f>(Main!R21/2)-(Main!D21/2)</f>
        <v>1.004240704047036</v>
      </c>
      <c r="AD22" s="22">
        <v>3</v>
      </c>
      <c r="AE22" s="22">
        <f>(Main!R21/2)-(Main!D21/2)</f>
        <v>1.004240704047036</v>
      </c>
      <c r="AF22" s="22">
        <v>3</v>
      </c>
      <c r="AG22" s="22">
        <f>(Main!R21/2)-(Main!D21/2)</f>
        <v>1.004240704047036</v>
      </c>
      <c r="AH22" s="22">
        <v>3</v>
      </c>
      <c r="AI22" s="22">
        <f>(Main!R21/2)-(Main!D21/2)</f>
        <v>1.004240704047036</v>
      </c>
      <c r="AJ22" s="22">
        <v>3</v>
      </c>
    </row>
    <row r="23" spans="1:36" ht="15" customHeight="1" x14ac:dyDescent="0.45">
      <c r="A23" s="22">
        <v>20</v>
      </c>
      <c r="B23" s="22">
        <f>Main!S22+(2*Main!U22)</f>
        <v>54</v>
      </c>
      <c r="C23" s="22">
        <f>Main!S22+(2*Main!U22)</f>
        <v>54</v>
      </c>
      <c r="D23" s="22">
        <f>Main!C22</f>
        <v>79.010720545979495</v>
      </c>
      <c r="E23" s="22">
        <f>(Main!D22/2)+Main!U22</f>
        <v>3.15</v>
      </c>
      <c r="F23" s="22">
        <f>(Main!D22/2)+Main!U22</f>
        <v>3.15</v>
      </c>
      <c r="G23" s="22">
        <f>(Main!D22/2)+Main!U22</f>
        <v>3.15</v>
      </c>
      <c r="H23" s="22">
        <f>(Main!D22/2)+Main!U22</f>
        <v>3.15</v>
      </c>
      <c r="I23" s="22">
        <f>Main!D22</f>
        <v>2.2999999999999998</v>
      </c>
      <c r="J23" s="22">
        <f>Main!D22</f>
        <v>2.2999999999999998</v>
      </c>
      <c r="K23" s="22">
        <f>Main!C22</f>
        <v>79.010720545979495</v>
      </c>
      <c r="L23" s="22">
        <f>(Main!S22/2)-(Main!D22/2)</f>
        <v>23.85</v>
      </c>
      <c r="M23" s="22">
        <f>Main!C22</f>
        <v>79.010720545979495</v>
      </c>
      <c r="N23" s="22">
        <f>(Main!S22/2)-(Main!D22/2)</f>
        <v>23.85</v>
      </c>
      <c r="O23" s="22">
        <f>Main!C22</f>
        <v>79.010720545979495</v>
      </c>
      <c r="P23" s="22">
        <f>(Main!S22/2)-(Main!D22/2)</f>
        <v>23.85</v>
      </c>
      <c r="Q23" s="22">
        <f>Main!C22</f>
        <v>79.010720545979495</v>
      </c>
      <c r="R23" s="22">
        <f>(Main!S22/2)-(Main!D22/2)</f>
        <v>23.85</v>
      </c>
      <c r="S23" s="22">
        <f>Main!C22</f>
        <v>79.010720545979495</v>
      </c>
      <c r="T23" s="22">
        <f>Main!S22</f>
        <v>50</v>
      </c>
      <c r="U23" s="22">
        <f>Main!S22</f>
        <v>50</v>
      </c>
      <c r="V23" s="22">
        <f>Main!T22</f>
        <v>10</v>
      </c>
      <c r="W23" s="22">
        <f>Main!R22+(Main!U22*2)</f>
        <v>8.2858064692460758</v>
      </c>
      <c r="X23" s="22">
        <f>Main!R22+(Main!U22*2)</f>
        <v>8.2858064692460758</v>
      </c>
      <c r="Y23" s="22">
        <v>3</v>
      </c>
      <c r="Z23" s="22">
        <f>Main!D22</f>
        <v>2.2999999999999998</v>
      </c>
      <c r="AA23" s="22">
        <f>Main!D22</f>
        <v>2.2999999999999998</v>
      </c>
      <c r="AB23" s="22">
        <v>3</v>
      </c>
      <c r="AC23" s="22">
        <f>(Main!R22/2)-(Main!D22/2)</f>
        <v>0.99290323462303842</v>
      </c>
      <c r="AD23" s="22">
        <v>3</v>
      </c>
      <c r="AE23" s="22">
        <f>(Main!R22/2)-(Main!D22/2)</f>
        <v>0.99290323462303842</v>
      </c>
      <c r="AF23" s="22">
        <v>3</v>
      </c>
      <c r="AG23" s="22">
        <f>(Main!R22/2)-(Main!D22/2)</f>
        <v>0.99290323462303842</v>
      </c>
      <c r="AH23" s="22">
        <v>3</v>
      </c>
      <c r="AI23" s="22">
        <f>(Main!R22/2)-(Main!D22/2)</f>
        <v>0.99290323462303842</v>
      </c>
      <c r="AJ23" s="22">
        <v>3</v>
      </c>
    </row>
    <row r="24" spans="1:36" ht="15" customHeight="1" x14ac:dyDescent="0.45">
      <c r="A24" s="22">
        <v>21</v>
      </c>
      <c r="B24" s="22">
        <f>Main!S23+(2*Main!U23)</f>
        <v>54</v>
      </c>
      <c r="C24" s="22">
        <f>Main!S23+(2*Main!U23)</f>
        <v>54</v>
      </c>
      <c r="D24" s="22">
        <f>Main!C23</f>
        <v>86.638243895697059</v>
      </c>
      <c r="E24" s="22">
        <f>(Main!D23/2)+Main!U23</f>
        <v>3.15</v>
      </c>
      <c r="F24" s="22">
        <f>(Main!D23/2)+Main!U23</f>
        <v>3.15</v>
      </c>
      <c r="G24" s="22">
        <f>(Main!D23/2)+Main!U23</f>
        <v>3.15</v>
      </c>
      <c r="H24" s="22">
        <f>(Main!D23/2)+Main!U23</f>
        <v>3.15</v>
      </c>
      <c r="I24" s="22">
        <f>Main!D23</f>
        <v>2.2999999999999998</v>
      </c>
      <c r="J24" s="22">
        <f>Main!D23</f>
        <v>2.2999999999999998</v>
      </c>
      <c r="K24" s="22">
        <f>Main!C23</f>
        <v>86.638243895697059</v>
      </c>
      <c r="L24" s="22">
        <f>(Main!S23/2)-(Main!D23/2)</f>
        <v>23.85</v>
      </c>
      <c r="M24" s="22">
        <f>Main!C23</f>
        <v>86.638243895697059</v>
      </c>
      <c r="N24" s="22">
        <f>(Main!S23/2)-(Main!D23/2)</f>
        <v>23.85</v>
      </c>
      <c r="O24" s="22">
        <f>Main!C23</f>
        <v>86.638243895697059</v>
      </c>
      <c r="P24" s="22">
        <f>(Main!S23/2)-(Main!D23/2)</f>
        <v>23.85</v>
      </c>
      <c r="Q24" s="22">
        <f>Main!C23</f>
        <v>86.638243895697059</v>
      </c>
      <c r="R24" s="22">
        <f>(Main!S23/2)-(Main!D23/2)</f>
        <v>23.85</v>
      </c>
      <c r="S24" s="22">
        <f>Main!C23</f>
        <v>86.638243895697059</v>
      </c>
      <c r="T24" s="22">
        <f>Main!S23</f>
        <v>50</v>
      </c>
      <c r="U24" s="22">
        <f>Main!S23</f>
        <v>50</v>
      </c>
      <c r="V24" s="22">
        <f>Main!T23</f>
        <v>10</v>
      </c>
      <c r="W24" s="22">
        <f>Main!R23+(Main!U23*2)</f>
        <v>8.1109785349399566</v>
      </c>
      <c r="X24" s="22">
        <f>Main!R23+(Main!U23*2)</f>
        <v>8.1109785349399566</v>
      </c>
      <c r="Y24" s="22">
        <v>3</v>
      </c>
      <c r="Z24" s="22">
        <f>Main!D23</f>
        <v>2.2999999999999998</v>
      </c>
      <c r="AA24" s="22">
        <f>Main!D23</f>
        <v>2.2999999999999998</v>
      </c>
      <c r="AB24" s="22">
        <v>3</v>
      </c>
      <c r="AC24" s="22">
        <f>(Main!R23/2)-(Main!D23/2)</f>
        <v>0.90548926746997793</v>
      </c>
      <c r="AD24" s="22">
        <v>3</v>
      </c>
      <c r="AE24" s="22">
        <f>(Main!R23/2)-(Main!D23/2)</f>
        <v>0.90548926746997793</v>
      </c>
      <c r="AF24" s="22">
        <v>3</v>
      </c>
      <c r="AG24" s="22">
        <f>(Main!R23/2)-(Main!D23/2)</f>
        <v>0.90548926746997793</v>
      </c>
      <c r="AH24" s="22">
        <v>3</v>
      </c>
      <c r="AI24" s="22">
        <f>(Main!R23/2)-(Main!D23/2)</f>
        <v>0.90548926746997793</v>
      </c>
      <c r="AJ24" s="22">
        <v>3</v>
      </c>
    </row>
    <row r="25" spans="1:36" ht="15" customHeight="1" x14ac:dyDescent="0.45">
      <c r="A25" s="22">
        <v>22</v>
      </c>
      <c r="B25" s="22">
        <f>Main!S24+(2*Main!U24)</f>
        <v>54</v>
      </c>
      <c r="C25" s="22">
        <f>Main!S24+(2*Main!U24)</f>
        <v>54</v>
      </c>
      <c r="D25" s="22">
        <f>Main!C24</f>
        <v>80.058832079886542</v>
      </c>
      <c r="E25" s="22">
        <f>(Main!D24/2)+Main!U24</f>
        <v>3.15</v>
      </c>
      <c r="F25" s="22">
        <f>(Main!D24/2)+Main!U24</f>
        <v>3.15</v>
      </c>
      <c r="G25" s="22">
        <f>(Main!D24/2)+Main!U24</f>
        <v>3.15</v>
      </c>
      <c r="H25" s="22">
        <f>(Main!D24/2)+Main!U24</f>
        <v>3.15</v>
      </c>
      <c r="I25" s="22">
        <f>Main!D24</f>
        <v>2.2999999999999998</v>
      </c>
      <c r="J25" s="22">
        <f>Main!D24</f>
        <v>2.2999999999999998</v>
      </c>
      <c r="K25" s="22">
        <f>Main!C24</f>
        <v>80.058832079886542</v>
      </c>
      <c r="L25" s="22">
        <f>(Main!S24/2)-(Main!D24/2)</f>
        <v>23.85</v>
      </c>
      <c r="M25" s="22">
        <f>Main!C24</f>
        <v>80.058832079886542</v>
      </c>
      <c r="N25" s="22">
        <f>(Main!S24/2)-(Main!D24/2)</f>
        <v>23.85</v>
      </c>
      <c r="O25" s="22">
        <f>Main!C24</f>
        <v>80.058832079886542</v>
      </c>
      <c r="P25" s="22">
        <f>(Main!S24/2)-(Main!D24/2)</f>
        <v>23.85</v>
      </c>
      <c r="Q25" s="22">
        <f>Main!C24</f>
        <v>80.058832079886542</v>
      </c>
      <c r="R25" s="22">
        <f>(Main!S24/2)-(Main!D24/2)</f>
        <v>23.85</v>
      </c>
      <c r="S25" s="22">
        <f>Main!C24</f>
        <v>80.058832079886542</v>
      </c>
      <c r="T25" s="22">
        <f>Main!S24</f>
        <v>50</v>
      </c>
      <c r="U25" s="22">
        <f>Main!S24</f>
        <v>50</v>
      </c>
      <c r="V25" s="22">
        <f>Main!T24</f>
        <v>10</v>
      </c>
      <c r="W25" s="22">
        <f>Main!R24+(Main!U24*2)</f>
        <v>8.2598087546847747</v>
      </c>
      <c r="X25" s="22">
        <f>Main!R24+(Main!U24*2)</f>
        <v>8.2598087546847747</v>
      </c>
      <c r="Y25" s="22">
        <v>3</v>
      </c>
      <c r="Z25" s="22">
        <f>Main!D24</f>
        <v>2.2999999999999998</v>
      </c>
      <c r="AA25" s="22">
        <f>Main!D24</f>
        <v>2.2999999999999998</v>
      </c>
      <c r="AB25" s="22">
        <v>3</v>
      </c>
      <c r="AC25" s="22">
        <f>(Main!R24/2)-(Main!D24/2)</f>
        <v>0.97990437734238744</v>
      </c>
      <c r="AD25" s="22">
        <v>3</v>
      </c>
      <c r="AE25" s="22">
        <f>(Main!R24/2)-(Main!D24/2)</f>
        <v>0.97990437734238744</v>
      </c>
      <c r="AF25" s="22">
        <v>3</v>
      </c>
      <c r="AG25" s="22">
        <f>(Main!R24/2)-(Main!D24/2)</f>
        <v>0.97990437734238744</v>
      </c>
      <c r="AH25" s="22">
        <v>3</v>
      </c>
      <c r="AI25" s="22">
        <f>(Main!R24/2)-(Main!D24/2)</f>
        <v>0.97990437734238744</v>
      </c>
      <c r="AJ25" s="22">
        <v>3</v>
      </c>
    </row>
    <row r="26" spans="1:36" ht="15" customHeight="1" x14ac:dyDescent="0.45">
      <c r="A26" s="22">
        <v>23</v>
      </c>
      <c r="B26" s="22">
        <f>Main!S25+(2*Main!U25)</f>
        <v>54</v>
      </c>
      <c r="C26" s="22">
        <f>Main!S25+(2*Main!U25)</f>
        <v>54</v>
      </c>
      <c r="D26" s="22">
        <f>Main!C25</f>
        <v>72.859398120776603</v>
      </c>
      <c r="E26" s="22">
        <f>(Main!D25/2)+Main!U25</f>
        <v>3.15</v>
      </c>
      <c r="F26" s="22">
        <f>(Main!D25/2)+Main!U25</f>
        <v>3.15</v>
      </c>
      <c r="G26" s="22">
        <f>(Main!D25/2)+Main!U25</f>
        <v>3.15</v>
      </c>
      <c r="H26" s="22">
        <f>(Main!D25/2)+Main!U25</f>
        <v>3.15</v>
      </c>
      <c r="I26" s="22">
        <f>Main!D25</f>
        <v>2.2999999999999998</v>
      </c>
      <c r="J26" s="22">
        <f>Main!D25</f>
        <v>2.2999999999999998</v>
      </c>
      <c r="K26" s="22">
        <f>Main!C25</f>
        <v>72.859398120776603</v>
      </c>
      <c r="L26" s="22">
        <f>(Main!S25/2)-(Main!D25/2)</f>
        <v>23.85</v>
      </c>
      <c r="M26" s="22">
        <f>Main!C25</f>
        <v>72.859398120776603</v>
      </c>
      <c r="N26" s="22">
        <f>(Main!S25/2)-(Main!D25/2)</f>
        <v>23.85</v>
      </c>
      <c r="O26" s="22">
        <f>Main!C25</f>
        <v>72.859398120776603</v>
      </c>
      <c r="P26" s="22">
        <f>(Main!S25/2)-(Main!D25/2)</f>
        <v>23.85</v>
      </c>
      <c r="Q26" s="22">
        <f>Main!C25</f>
        <v>72.859398120776603</v>
      </c>
      <c r="R26" s="22">
        <f>(Main!S25/2)-(Main!D25/2)</f>
        <v>23.85</v>
      </c>
      <c r="S26" s="22">
        <f>Main!C25</f>
        <v>72.859398120776603</v>
      </c>
      <c r="T26" s="22">
        <f>Main!S25</f>
        <v>50</v>
      </c>
      <c r="U26" s="22">
        <f>Main!S25</f>
        <v>50</v>
      </c>
      <c r="V26" s="22">
        <f>Main!T25</f>
        <v>10</v>
      </c>
      <c r="W26" s="22">
        <f>Main!R25+(Main!U25*2)</f>
        <v>8.4534627521889778</v>
      </c>
      <c r="X26" s="22">
        <f>Main!R25+(Main!U25*2)</f>
        <v>8.4534627521889778</v>
      </c>
      <c r="Y26" s="22">
        <v>3</v>
      </c>
      <c r="Z26" s="22">
        <f>Main!D25</f>
        <v>2.2999999999999998</v>
      </c>
      <c r="AA26" s="22">
        <f>Main!D25</f>
        <v>2.2999999999999998</v>
      </c>
      <c r="AB26" s="22">
        <v>3</v>
      </c>
      <c r="AC26" s="22">
        <f>(Main!R25/2)-(Main!D25/2)</f>
        <v>1.076731376094489</v>
      </c>
      <c r="AD26" s="22">
        <v>3</v>
      </c>
      <c r="AE26" s="22">
        <f>(Main!R25/2)-(Main!D25/2)</f>
        <v>1.076731376094489</v>
      </c>
      <c r="AF26" s="22">
        <v>3</v>
      </c>
      <c r="AG26" s="22">
        <f>(Main!R25/2)-(Main!D25/2)</f>
        <v>1.076731376094489</v>
      </c>
      <c r="AH26" s="22">
        <v>3</v>
      </c>
      <c r="AI26" s="22">
        <f>(Main!R25/2)-(Main!D25/2)</f>
        <v>1.076731376094489</v>
      </c>
      <c r="AJ26" s="22">
        <v>3</v>
      </c>
    </row>
    <row r="27" spans="1:36" ht="15" customHeight="1" x14ac:dyDescent="0.45">
      <c r="A27" s="22">
        <v>24</v>
      </c>
      <c r="B27" s="22">
        <f>Main!S26+(2*Main!U26)</f>
        <v>54</v>
      </c>
      <c r="C27" s="22">
        <f>Main!S26+(2*Main!U26)</f>
        <v>54</v>
      </c>
      <c r="D27" s="22">
        <f>Main!C26</f>
        <v>65.690836749438887</v>
      </c>
      <c r="E27" s="22">
        <f>(Main!D26/2)+Main!U26</f>
        <v>3.15</v>
      </c>
      <c r="F27" s="22">
        <f>(Main!D26/2)+Main!U26</f>
        <v>3.15</v>
      </c>
      <c r="G27" s="22">
        <f>(Main!D26/2)+Main!U26</f>
        <v>3.15</v>
      </c>
      <c r="H27" s="22">
        <f>(Main!D26/2)+Main!U26</f>
        <v>3.15</v>
      </c>
      <c r="I27" s="22">
        <f>Main!D26</f>
        <v>2.2999999999999998</v>
      </c>
      <c r="J27" s="22">
        <f>Main!D26</f>
        <v>2.2999999999999998</v>
      </c>
      <c r="K27" s="22">
        <f>Main!C26</f>
        <v>65.690836749438887</v>
      </c>
      <c r="L27" s="22">
        <f>(Main!S26/2)-(Main!D26/2)</f>
        <v>23.85</v>
      </c>
      <c r="M27" s="22">
        <f>Main!C26</f>
        <v>65.690836749438887</v>
      </c>
      <c r="N27" s="22">
        <f>(Main!S26/2)-(Main!D26/2)</f>
        <v>23.85</v>
      </c>
      <c r="O27" s="22">
        <f>Main!C26</f>
        <v>65.690836749438887</v>
      </c>
      <c r="P27" s="22">
        <f>(Main!S26/2)-(Main!D26/2)</f>
        <v>23.85</v>
      </c>
      <c r="Q27" s="22">
        <f>Main!C26</f>
        <v>65.690836749438887</v>
      </c>
      <c r="R27" s="22">
        <f>(Main!S26/2)-(Main!D26/2)</f>
        <v>23.85</v>
      </c>
      <c r="S27" s="22">
        <f>Main!C26</f>
        <v>65.690836749438887</v>
      </c>
      <c r="T27" s="22">
        <f>Main!S26</f>
        <v>50</v>
      </c>
      <c r="U27" s="22">
        <f>Main!S26</f>
        <v>50</v>
      </c>
      <c r="V27" s="22">
        <f>Main!T26</f>
        <v>10</v>
      </c>
      <c r="W27" s="22">
        <f>Main!R26+(Main!U26*2)</f>
        <v>8.6884609751350155</v>
      </c>
      <c r="X27" s="22">
        <f>Main!R26+(Main!U26*2)</f>
        <v>8.6884609751350155</v>
      </c>
      <c r="Y27" s="22">
        <v>3</v>
      </c>
      <c r="Z27" s="22">
        <f>Main!D26</f>
        <v>2.2999999999999998</v>
      </c>
      <c r="AA27" s="22">
        <f>Main!D26</f>
        <v>2.2999999999999998</v>
      </c>
      <c r="AB27" s="22">
        <v>3</v>
      </c>
      <c r="AC27" s="22">
        <f>(Main!R26/2)-(Main!D26/2)</f>
        <v>1.1942304875675083</v>
      </c>
      <c r="AD27" s="22">
        <v>3</v>
      </c>
      <c r="AE27" s="22">
        <f>(Main!R26/2)-(Main!D26/2)</f>
        <v>1.1942304875675083</v>
      </c>
      <c r="AF27" s="22">
        <v>3</v>
      </c>
      <c r="AG27" s="22">
        <f>(Main!R26/2)-(Main!D26/2)</f>
        <v>1.1942304875675083</v>
      </c>
      <c r="AH27" s="22">
        <v>3</v>
      </c>
      <c r="AI27" s="22">
        <f>(Main!R26/2)-(Main!D26/2)</f>
        <v>1.1942304875675083</v>
      </c>
      <c r="AJ27" s="22">
        <v>3</v>
      </c>
    </row>
    <row r="28" spans="1:36" ht="15" customHeight="1" x14ac:dyDescent="0.45">
      <c r="A28" s="22">
        <v>25</v>
      </c>
      <c r="B28" s="22">
        <f>Main!S27+(2*Main!U27)</f>
        <v>54</v>
      </c>
      <c r="C28" s="22">
        <f>Main!S27+(2*Main!U27)</f>
        <v>54</v>
      </c>
      <c r="D28" s="22">
        <f>Main!C27</f>
        <v>59.199305669602019</v>
      </c>
      <c r="E28" s="22">
        <f>(Main!D27/2)+Main!U27</f>
        <v>3.15</v>
      </c>
      <c r="F28" s="22">
        <f>(Main!D27/2)+Main!U27</f>
        <v>3.15</v>
      </c>
      <c r="G28" s="22">
        <f>(Main!D27/2)+Main!U27</f>
        <v>3.15</v>
      </c>
      <c r="H28" s="22">
        <f>(Main!D27/2)+Main!U27</f>
        <v>3.15</v>
      </c>
      <c r="I28" s="22">
        <f>Main!D27</f>
        <v>2.2999999999999998</v>
      </c>
      <c r="J28" s="22">
        <f>Main!D27</f>
        <v>2.2999999999999998</v>
      </c>
      <c r="K28" s="22">
        <f>Main!C27</f>
        <v>59.199305669602019</v>
      </c>
      <c r="L28" s="22">
        <f>(Main!S27/2)-(Main!D27/2)</f>
        <v>23.85</v>
      </c>
      <c r="M28" s="22">
        <f>Main!C27</f>
        <v>59.199305669602019</v>
      </c>
      <c r="N28" s="22">
        <f>(Main!S27/2)-(Main!D27/2)</f>
        <v>23.85</v>
      </c>
      <c r="O28" s="22">
        <f>Main!C27</f>
        <v>59.199305669602019</v>
      </c>
      <c r="P28" s="22">
        <f>(Main!S27/2)-(Main!D27/2)</f>
        <v>23.85</v>
      </c>
      <c r="Q28" s="22">
        <f>Main!C27</f>
        <v>59.199305669602019</v>
      </c>
      <c r="R28" s="22">
        <f>(Main!S27/2)-(Main!D27/2)</f>
        <v>23.85</v>
      </c>
      <c r="S28" s="22">
        <f>Main!C27</f>
        <v>59.199305669602019</v>
      </c>
      <c r="T28" s="22">
        <f>Main!S27</f>
        <v>50</v>
      </c>
      <c r="U28" s="22">
        <f>Main!S27</f>
        <v>50</v>
      </c>
      <c r="V28" s="22">
        <f>Main!T27</f>
        <v>10</v>
      </c>
      <c r="W28" s="22">
        <f>Main!R27+(Main!U27*2)</f>
        <v>8.9503689228329222</v>
      </c>
      <c r="X28" s="22">
        <f>Main!R27+(Main!U27*2)</f>
        <v>8.9503689228329222</v>
      </c>
      <c r="Y28" s="22">
        <v>3</v>
      </c>
      <c r="Z28" s="22">
        <f>Main!D27</f>
        <v>2.2999999999999998</v>
      </c>
      <c r="AA28" s="22">
        <f>Main!D27</f>
        <v>2.2999999999999998</v>
      </c>
      <c r="AB28" s="22">
        <v>3</v>
      </c>
      <c r="AC28" s="22">
        <f>(Main!R27/2)-(Main!D27/2)</f>
        <v>1.3251844614164612</v>
      </c>
      <c r="AD28" s="22">
        <v>3</v>
      </c>
      <c r="AE28" s="22">
        <f>(Main!R27/2)-(Main!D27/2)</f>
        <v>1.3251844614164612</v>
      </c>
      <c r="AF28" s="22">
        <v>3</v>
      </c>
      <c r="AG28" s="22">
        <f>(Main!R27/2)-(Main!D27/2)</f>
        <v>1.3251844614164612</v>
      </c>
      <c r="AH28" s="22">
        <v>3</v>
      </c>
      <c r="AI28" s="22">
        <f>(Main!R27/2)-(Main!D27/2)</f>
        <v>1.3251844614164612</v>
      </c>
      <c r="AJ28" s="22">
        <v>3</v>
      </c>
    </row>
    <row r="29" spans="1:36" ht="15" customHeight="1" x14ac:dyDescent="0.45">
      <c r="A29" s="22">
        <v>26</v>
      </c>
      <c r="B29" s="22">
        <f>Main!S28+(2*Main!U28)</f>
        <v>54</v>
      </c>
      <c r="C29" s="22">
        <f>Main!S28+(2*Main!U28)</f>
        <v>54</v>
      </c>
      <c r="D29" s="22">
        <f>Main!C28</f>
        <v>53.969214753514009</v>
      </c>
      <c r="E29" s="22">
        <f>(Main!D28/2)+Main!U28</f>
        <v>3.15</v>
      </c>
      <c r="F29" s="22">
        <f>(Main!D28/2)+Main!U28</f>
        <v>3.15</v>
      </c>
      <c r="G29" s="22">
        <f>(Main!D28/2)+Main!U28</f>
        <v>3.15</v>
      </c>
      <c r="H29" s="22">
        <f>(Main!D28/2)+Main!U28</f>
        <v>3.15</v>
      </c>
      <c r="I29" s="22">
        <f>Main!D28</f>
        <v>2.2999999999999998</v>
      </c>
      <c r="J29" s="22">
        <f>Main!D28</f>
        <v>2.2999999999999998</v>
      </c>
      <c r="K29" s="22">
        <f>Main!C28</f>
        <v>53.969214753514009</v>
      </c>
      <c r="L29" s="22">
        <f>(Main!S28/2)-(Main!D28/2)</f>
        <v>23.85</v>
      </c>
      <c r="M29" s="22">
        <f>Main!C28</f>
        <v>53.969214753514009</v>
      </c>
      <c r="N29" s="22">
        <f>(Main!S28/2)-(Main!D28/2)</f>
        <v>23.85</v>
      </c>
      <c r="O29" s="22">
        <f>Main!C28</f>
        <v>53.969214753514009</v>
      </c>
      <c r="P29" s="22">
        <f>(Main!S28/2)-(Main!D28/2)</f>
        <v>23.85</v>
      </c>
      <c r="Q29" s="22">
        <f>Main!C28</f>
        <v>53.969214753514009</v>
      </c>
      <c r="R29" s="22">
        <f>(Main!S28/2)-(Main!D28/2)</f>
        <v>23.85</v>
      </c>
      <c r="S29" s="22">
        <f>Main!C28</f>
        <v>53.969214753514009</v>
      </c>
      <c r="T29" s="22">
        <f>Main!S28</f>
        <v>50</v>
      </c>
      <c r="U29" s="22">
        <f>Main!S28</f>
        <v>50</v>
      </c>
      <c r="V29" s="22">
        <f>Main!T28</f>
        <v>10</v>
      </c>
      <c r="W29" s="22">
        <f>Main!R28+(Main!U28*2)</f>
        <v>9.2072129493932273</v>
      </c>
      <c r="X29" s="22">
        <f>Main!R28+(Main!U28*2)</f>
        <v>9.2072129493932273</v>
      </c>
      <c r="Y29" s="22">
        <v>3</v>
      </c>
      <c r="Z29" s="22">
        <f>Main!D28</f>
        <v>2.2999999999999998</v>
      </c>
      <c r="AA29" s="22">
        <f>Main!D28</f>
        <v>2.2999999999999998</v>
      </c>
      <c r="AB29" s="22">
        <v>3</v>
      </c>
      <c r="AC29" s="22">
        <f>(Main!R28/2)-(Main!D28/2)</f>
        <v>1.4536064746966142</v>
      </c>
      <c r="AD29" s="22">
        <v>3</v>
      </c>
      <c r="AE29" s="22">
        <f>(Main!R28/2)-(Main!D28/2)</f>
        <v>1.4536064746966142</v>
      </c>
      <c r="AF29" s="22">
        <v>3</v>
      </c>
      <c r="AG29" s="22">
        <f>(Main!R28/2)-(Main!D28/2)</f>
        <v>1.4536064746966142</v>
      </c>
      <c r="AH29" s="22">
        <v>3</v>
      </c>
      <c r="AI29" s="22">
        <f>(Main!R28/2)-(Main!D28/2)</f>
        <v>1.4536064746966142</v>
      </c>
      <c r="AJ29" s="22">
        <v>3</v>
      </c>
    </row>
    <row r="30" spans="1:36" ht="15" customHeight="1" x14ac:dyDescent="0.45">
      <c r="A30" s="22">
        <v>27</v>
      </c>
      <c r="B30" s="22">
        <f>Main!S29+(2*Main!U29)</f>
        <v>54</v>
      </c>
      <c r="C30" s="22">
        <f>Main!S29+(2*Main!U29)</f>
        <v>54</v>
      </c>
      <c r="D30" s="22">
        <f>Main!C29</f>
        <v>50.495913662547991</v>
      </c>
      <c r="E30" s="22">
        <f>(Main!D29/2)+Main!U29</f>
        <v>3.15</v>
      </c>
      <c r="F30" s="22">
        <f>(Main!D29/2)+Main!U29</f>
        <v>3.15</v>
      </c>
      <c r="G30" s="22">
        <f>(Main!D29/2)+Main!U29</f>
        <v>3.15</v>
      </c>
      <c r="H30" s="22">
        <f>(Main!D29/2)+Main!U29</f>
        <v>3.15</v>
      </c>
      <c r="I30" s="22">
        <f>Main!D29</f>
        <v>2.2999999999999998</v>
      </c>
      <c r="J30" s="22">
        <f>Main!D29</f>
        <v>2.2999999999999998</v>
      </c>
      <c r="K30" s="22">
        <f>Main!C29</f>
        <v>50.495913662547991</v>
      </c>
      <c r="L30" s="22">
        <f>(Main!S29/2)-(Main!D29/2)</f>
        <v>23.85</v>
      </c>
      <c r="M30" s="22">
        <f>Main!C29</f>
        <v>50.495913662547991</v>
      </c>
      <c r="N30" s="22">
        <f>(Main!S29/2)-(Main!D29/2)</f>
        <v>23.85</v>
      </c>
      <c r="O30" s="22">
        <f>Main!C29</f>
        <v>50.495913662547991</v>
      </c>
      <c r="P30" s="22">
        <f>(Main!S29/2)-(Main!D29/2)</f>
        <v>23.85</v>
      </c>
      <c r="Q30" s="22">
        <f>Main!C29</f>
        <v>50.495913662547991</v>
      </c>
      <c r="R30" s="22">
        <f>(Main!S29/2)-(Main!D29/2)</f>
        <v>23.85</v>
      </c>
      <c r="S30" s="22">
        <f>Main!C29</f>
        <v>50.495913662547991</v>
      </c>
      <c r="T30" s="22">
        <f>Main!S29</f>
        <v>50</v>
      </c>
      <c r="U30" s="22">
        <f>Main!S29</f>
        <v>50</v>
      </c>
      <c r="V30" s="22">
        <f>Main!T29</f>
        <v>10</v>
      </c>
      <c r="W30" s="22">
        <f>Main!R29+(Main!U29*2)</f>
        <v>9.4071821187061762</v>
      </c>
      <c r="X30" s="22">
        <f>Main!R29+(Main!U29*2)</f>
        <v>9.4071821187061762</v>
      </c>
      <c r="Y30" s="22">
        <v>3</v>
      </c>
      <c r="Z30" s="22">
        <f>Main!D29</f>
        <v>2.2999999999999998</v>
      </c>
      <c r="AA30" s="22">
        <f>Main!D29</f>
        <v>2.2999999999999998</v>
      </c>
      <c r="AB30" s="22">
        <v>3</v>
      </c>
      <c r="AC30" s="22">
        <f>(Main!R29/2)-(Main!D29/2)</f>
        <v>1.5535910593530882</v>
      </c>
      <c r="AD30" s="22">
        <v>3</v>
      </c>
      <c r="AE30" s="22">
        <f>(Main!R29/2)-(Main!D29/2)</f>
        <v>1.5535910593530882</v>
      </c>
      <c r="AF30" s="22">
        <v>3</v>
      </c>
      <c r="AG30" s="22">
        <f>(Main!R29/2)-(Main!D29/2)</f>
        <v>1.5535910593530882</v>
      </c>
      <c r="AH30" s="22">
        <v>3</v>
      </c>
      <c r="AI30" s="22">
        <f>(Main!R29/2)-(Main!D29/2)</f>
        <v>1.5535910593530882</v>
      </c>
      <c r="AJ30" s="22">
        <v>3</v>
      </c>
    </row>
    <row r="31" spans="1:36" ht="15" customHeight="1" x14ac:dyDescent="0.45">
      <c r="A31" s="22">
        <v>28</v>
      </c>
      <c r="B31" s="22">
        <f>Main!S30+(2*Main!U30)</f>
        <v>54</v>
      </c>
      <c r="C31" s="22">
        <f>Main!S30+(2*Main!U30)</f>
        <v>54</v>
      </c>
      <c r="D31" s="22">
        <f>Main!C30</f>
        <v>49.145501948456534</v>
      </c>
      <c r="E31" s="22">
        <f>(Main!D30/2)+Main!U30</f>
        <v>3.15</v>
      </c>
      <c r="F31" s="22">
        <f>(Main!D30/2)+Main!U30</f>
        <v>3.15</v>
      </c>
      <c r="G31" s="22">
        <f>(Main!D30/2)+Main!U30</f>
        <v>3.15</v>
      </c>
      <c r="H31" s="22">
        <f>(Main!D30/2)+Main!U30</f>
        <v>3.15</v>
      </c>
      <c r="I31" s="22">
        <f>Main!D30</f>
        <v>2.2999999999999998</v>
      </c>
      <c r="J31" s="22">
        <f>Main!D30</f>
        <v>2.2999999999999998</v>
      </c>
      <c r="K31" s="22">
        <f>Main!C30</f>
        <v>49.145501948456534</v>
      </c>
      <c r="L31" s="22">
        <f>(Main!S30/2)-(Main!D30/2)</f>
        <v>23.85</v>
      </c>
      <c r="M31" s="22">
        <f>Main!C30</f>
        <v>49.145501948456534</v>
      </c>
      <c r="N31" s="22">
        <f>(Main!S30/2)-(Main!D30/2)</f>
        <v>23.85</v>
      </c>
      <c r="O31" s="22">
        <f>Main!C30</f>
        <v>49.145501948456534</v>
      </c>
      <c r="P31" s="22">
        <f>(Main!S30/2)-(Main!D30/2)</f>
        <v>23.85</v>
      </c>
      <c r="Q31" s="22">
        <f>Main!C30</f>
        <v>49.145501948456534</v>
      </c>
      <c r="R31" s="22">
        <f>(Main!S30/2)-(Main!D30/2)</f>
        <v>23.85</v>
      </c>
      <c r="S31" s="22">
        <f>Main!C30</f>
        <v>49.145501948456534</v>
      </c>
      <c r="T31" s="22">
        <f>Main!S30</f>
        <v>50</v>
      </c>
      <c r="U31" s="22">
        <f>Main!S30</f>
        <v>50</v>
      </c>
      <c r="V31" s="22">
        <f>Main!T30</f>
        <v>10</v>
      </c>
      <c r="W31" s="22">
        <f>Main!R30+(Main!U30*2)</f>
        <v>9.4925607386115551</v>
      </c>
      <c r="X31" s="22">
        <f>Main!R30+(Main!U30*2)</f>
        <v>9.4925607386115551</v>
      </c>
      <c r="Y31" s="22">
        <v>3</v>
      </c>
      <c r="Z31" s="22">
        <f>Main!D30</f>
        <v>2.2999999999999998</v>
      </c>
      <c r="AA31" s="22">
        <f>Main!D30</f>
        <v>2.2999999999999998</v>
      </c>
      <c r="AB31" s="22">
        <v>3</v>
      </c>
      <c r="AC31" s="22">
        <f>(Main!R30/2)-(Main!D30/2)</f>
        <v>1.5962803693057777</v>
      </c>
      <c r="AD31" s="22">
        <v>3</v>
      </c>
      <c r="AE31" s="22">
        <f>(Main!R30/2)-(Main!D30/2)</f>
        <v>1.5962803693057777</v>
      </c>
      <c r="AF31" s="22">
        <v>3</v>
      </c>
      <c r="AG31" s="22">
        <f>(Main!R30/2)-(Main!D30/2)</f>
        <v>1.5962803693057777</v>
      </c>
      <c r="AH31" s="22">
        <v>3</v>
      </c>
      <c r="AI31" s="22">
        <f>(Main!R30/2)-(Main!D30/2)</f>
        <v>1.5962803693057777</v>
      </c>
      <c r="AJ31" s="22">
        <v>3</v>
      </c>
    </row>
    <row r="32" spans="1:36" ht="15" customHeight="1" x14ac:dyDescent="0.45">
      <c r="A32" s="22">
        <v>29</v>
      </c>
      <c r="B32" s="22">
        <f>Main!S31+(2*Main!U31)</f>
        <v>54</v>
      </c>
      <c r="C32" s="22">
        <f>Main!S31+(2*Main!U31)</f>
        <v>54</v>
      </c>
      <c r="D32" s="22">
        <f>Main!C31</f>
        <v>50.067327093521619</v>
      </c>
      <c r="E32" s="22">
        <f>(Main!D31/2)+Main!U31</f>
        <v>3.15</v>
      </c>
      <c r="F32" s="22">
        <f>(Main!D31/2)+Main!U31</f>
        <v>3.15</v>
      </c>
      <c r="G32" s="22">
        <f>(Main!D31/2)+Main!U31</f>
        <v>3.15</v>
      </c>
      <c r="H32" s="22">
        <f>(Main!D31/2)+Main!U31</f>
        <v>3.15</v>
      </c>
      <c r="I32" s="22">
        <f>Main!D31</f>
        <v>2.2999999999999998</v>
      </c>
      <c r="J32" s="22">
        <f>Main!D31</f>
        <v>2.2999999999999998</v>
      </c>
      <c r="K32" s="22">
        <f>Main!C31</f>
        <v>50.067327093521619</v>
      </c>
      <c r="L32" s="22">
        <f>(Main!S31/2)-(Main!D31/2)</f>
        <v>23.85</v>
      </c>
      <c r="M32" s="22">
        <f>Main!C31</f>
        <v>50.067327093521619</v>
      </c>
      <c r="N32" s="22">
        <f>(Main!S31/2)-(Main!D31/2)</f>
        <v>23.85</v>
      </c>
      <c r="O32" s="22">
        <f>Main!C31</f>
        <v>50.067327093521619</v>
      </c>
      <c r="P32" s="22">
        <f>(Main!S31/2)-(Main!D31/2)</f>
        <v>23.85</v>
      </c>
      <c r="Q32" s="22">
        <f>Main!C31</f>
        <v>50.067327093521619</v>
      </c>
      <c r="R32" s="22">
        <f>(Main!S31/2)-(Main!D31/2)</f>
        <v>23.85</v>
      </c>
      <c r="S32" s="22">
        <f>Main!C31</f>
        <v>50.067327093521619</v>
      </c>
      <c r="T32" s="22">
        <f>Main!S31</f>
        <v>50</v>
      </c>
      <c r="U32" s="22">
        <f>Main!S31</f>
        <v>50</v>
      </c>
      <c r="V32" s="22">
        <f>Main!T31</f>
        <v>10</v>
      </c>
      <c r="W32" s="22">
        <f>Main!R31+(Main!U31*2)</f>
        <v>9.4337802337025849</v>
      </c>
      <c r="X32" s="22">
        <f>Main!R31+(Main!U31*2)</f>
        <v>9.4337802337025849</v>
      </c>
      <c r="Y32" s="22">
        <v>3</v>
      </c>
      <c r="Z32" s="22">
        <f>Main!D31</f>
        <v>2.2999999999999998</v>
      </c>
      <c r="AA32" s="22">
        <f>Main!D31</f>
        <v>2.2999999999999998</v>
      </c>
      <c r="AB32" s="22">
        <v>3</v>
      </c>
      <c r="AC32" s="22">
        <f>(Main!R31/2)-(Main!D31/2)</f>
        <v>1.566890116851293</v>
      </c>
      <c r="AD32" s="22">
        <v>3</v>
      </c>
      <c r="AE32" s="22">
        <f>(Main!R31/2)-(Main!D31/2)</f>
        <v>1.566890116851293</v>
      </c>
      <c r="AF32" s="22">
        <v>3</v>
      </c>
      <c r="AG32" s="22">
        <f>(Main!R31/2)-(Main!D31/2)</f>
        <v>1.566890116851293</v>
      </c>
      <c r="AH32" s="22">
        <v>3</v>
      </c>
      <c r="AI32" s="22">
        <f>(Main!R31/2)-(Main!D31/2)</f>
        <v>1.566890116851293</v>
      </c>
      <c r="AJ32" s="22">
        <v>3</v>
      </c>
    </row>
    <row r="33" spans="1:36" ht="15" customHeight="1" x14ac:dyDescent="0.45">
      <c r="A33" s="22">
        <v>30</v>
      </c>
      <c r="B33" s="22">
        <f>Main!S32+(2*Main!U32)</f>
        <v>54</v>
      </c>
      <c r="C33" s="22">
        <f>Main!S32+(2*Main!U32)</f>
        <v>54</v>
      </c>
      <c r="D33" s="22">
        <f>Main!C32</f>
        <v>52.883243871265748</v>
      </c>
      <c r="E33" s="22">
        <f>(Main!D32/2)+Main!U32</f>
        <v>3.15</v>
      </c>
      <c r="F33" s="22">
        <f>(Main!D32/2)+Main!U32</f>
        <v>3.15</v>
      </c>
      <c r="G33" s="22">
        <f>(Main!D32/2)+Main!U32</f>
        <v>3.15</v>
      </c>
      <c r="H33" s="22">
        <f>(Main!D32/2)+Main!U32</f>
        <v>3.15</v>
      </c>
      <c r="I33" s="22">
        <f>Main!D32</f>
        <v>2.2999999999999998</v>
      </c>
      <c r="J33" s="22">
        <f>Main!D32</f>
        <v>2.2999999999999998</v>
      </c>
      <c r="K33" s="22">
        <f>Main!C32</f>
        <v>52.883243871265748</v>
      </c>
      <c r="L33" s="22">
        <f>(Main!S32/2)-(Main!D32/2)</f>
        <v>23.85</v>
      </c>
      <c r="M33" s="22">
        <f>Main!C32</f>
        <v>52.883243871265748</v>
      </c>
      <c r="N33" s="22">
        <f>(Main!S32/2)-(Main!D32/2)</f>
        <v>23.85</v>
      </c>
      <c r="O33" s="22">
        <f>Main!C32</f>
        <v>52.883243871265748</v>
      </c>
      <c r="P33" s="22">
        <f>(Main!S32/2)-(Main!D32/2)</f>
        <v>23.85</v>
      </c>
      <c r="Q33" s="22">
        <f>Main!C32</f>
        <v>52.883243871265748</v>
      </c>
      <c r="R33" s="22">
        <f>(Main!S32/2)-(Main!D32/2)</f>
        <v>23.85</v>
      </c>
      <c r="S33" s="22">
        <f>Main!C32</f>
        <v>52.883243871265748</v>
      </c>
      <c r="T33" s="22">
        <f>Main!S32</f>
        <v>50</v>
      </c>
      <c r="U33" s="22">
        <f>Main!S32</f>
        <v>50</v>
      </c>
      <c r="V33" s="22">
        <f>Main!T32</f>
        <v>10</v>
      </c>
      <c r="W33" s="22">
        <f>Main!R32+(Main!U32*2)</f>
        <v>9.2669133077755852</v>
      </c>
      <c r="X33" s="22">
        <f>Main!R32+(Main!U32*2)</f>
        <v>9.2669133077755852</v>
      </c>
      <c r="Y33" s="22">
        <v>3</v>
      </c>
      <c r="Z33" s="22">
        <f>Main!D32</f>
        <v>2.2999999999999998</v>
      </c>
      <c r="AA33" s="22">
        <f>Main!D32</f>
        <v>2.2999999999999998</v>
      </c>
      <c r="AB33" s="22">
        <v>3</v>
      </c>
      <c r="AC33" s="22">
        <f>(Main!R32/2)-(Main!D32/2)</f>
        <v>1.4834566538877927</v>
      </c>
      <c r="AD33" s="22">
        <v>3</v>
      </c>
      <c r="AE33" s="22">
        <f>(Main!R32/2)-(Main!D32/2)</f>
        <v>1.4834566538877927</v>
      </c>
      <c r="AF33" s="22">
        <v>3</v>
      </c>
      <c r="AG33" s="22">
        <f>(Main!R32/2)-(Main!D32/2)</f>
        <v>1.4834566538877927</v>
      </c>
      <c r="AH33" s="22">
        <v>3</v>
      </c>
      <c r="AI33" s="22">
        <f>(Main!R32/2)-(Main!D32/2)</f>
        <v>1.4834566538877927</v>
      </c>
      <c r="AJ33" s="22">
        <v>3</v>
      </c>
    </row>
    <row r="34" spans="1:36" ht="15" customHeight="1" x14ac:dyDescent="0.45">
      <c r="A34" s="22">
        <v>31</v>
      </c>
      <c r="B34" s="22">
        <f>Main!S33+(2*Main!U33)</f>
        <v>54</v>
      </c>
      <c r="C34" s="22">
        <f>Main!S33+(2*Main!U33)</f>
        <v>54</v>
      </c>
      <c r="D34" s="22">
        <f>Main!C33</f>
        <v>56.956125596086267</v>
      </c>
      <c r="E34" s="22">
        <f>(Main!D33/2)+Main!U33</f>
        <v>3.15</v>
      </c>
      <c r="F34" s="22">
        <f>(Main!D33/2)+Main!U33</f>
        <v>3.15</v>
      </c>
      <c r="G34" s="22">
        <f>(Main!D33/2)+Main!U33</f>
        <v>3.15</v>
      </c>
      <c r="H34" s="22">
        <f>(Main!D33/2)+Main!U33</f>
        <v>3.15</v>
      </c>
      <c r="I34" s="22">
        <f>Main!D33</f>
        <v>2.2999999999999998</v>
      </c>
      <c r="J34" s="22">
        <f>Main!D33</f>
        <v>2.2999999999999998</v>
      </c>
      <c r="K34" s="22">
        <f>Main!C33</f>
        <v>56.956125596086267</v>
      </c>
      <c r="L34" s="22">
        <f>(Main!S33/2)-(Main!D33/2)</f>
        <v>23.85</v>
      </c>
      <c r="M34" s="22">
        <f>Main!C33</f>
        <v>56.956125596086267</v>
      </c>
      <c r="N34" s="22">
        <f>(Main!S33/2)-(Main!D33/2)</f>
        <v>23.85</v>
      </c>
      <c r="O34" s="22">
        <f>Main!C33</f>
        <v>56.956125596086267</v>
      </c>
      <c r="P34" s="22">
        <f>(Main!S33/2)-(Main!D33/2)</f>
        <v>23.85</v>
      </c>
      <c r="Q34" s="22">
        <f>Main!C33</f>
        <v>56.956125596086267</v>
      </c>
      <c r="R34" s="22">
        <f>(Main!S33/2)-(Main!D33/2)</f>
        <v>23.85</v>
      </c>
      <c r="S34" s="22">
        <f>Main!C33</f>
        <v>56.956125596086267</v>
      </c>
      <c r="T34" s="22">
        <f>Main!S33</f>
        <v>50</v>
      </c>
      <c r="U34" s="22">
        <f>Main!S33</f>
        <v>50</v>
      </c>
      <c r="V34" s="22">
        <f>Main!T33</f>
        <v>10</v>
      </c>
      <c r="W34" s="22">
        <f>Main!R33+(Main!U33*2)</f>
        <v>9.0547519842322508</v>
      </c>
      <c r="X34" s="22">
        <f>Main!R33+(Main!U33*2)</f>
        <v>9.0547519842322508</v>
      </c>
      <c r="Y34" s="22">
        <v>3</v>
      </c>
      <c r="Z34" s="22">
        <f>Main!D33</f>
        <v>2.2999999999999998</v>
      </c>
      <c r="AA34" s="22">
        <f>Main!D33</f>
        <v>2.2999999999999998</v>
      </c>
      <c r="AB34" s="22">
        <v>3</v>
      </c>
      <c r="AC34" s="22">
        <f>(Main!R33/2)-(Main!D33/2)</f>
        <v>1.3773759921161259</v>
      </c>
      <c r="AD34" s="22">
        <v>3</v>
      </c>
      <c r="AE34" s="22">
        <f>(Main!R33/2)-(Main!D33/2)</f>
        <v>1.3773759921161259</v>
      </c>
      <c r="AF34" s="22">
        <v>3</v>
      </c>
      <c r="AG34" s="22">
        <f>(Main!R33/2)-(Main!D33/2)</f>
        <v>1.3773759921161259</v>
      </c>
      <c r="AH34" s="22">
        <v>3</v>
      </c>
      <c r="AI34" s="22">
        <f>(Main!R33/2)-(Main!D33/2)</f>
        <v>1.3773759921161259</v>
      </c>
      <c r="AJ34" s="22">
        <v>3</v>
      </c>
    </row>
    <row r="35" spans="1:36" ht="15" customHeight="1" x14ac:dyDescent="0.45">
      <c r="A35" s="22">
        <v>32</v>
      </c>
      <c r="B35" s="22">
        <f>Main!S34+(2*Main!U34)</f>
        <v>54</v>
      </c>
      <c r="C35" s="22">
        <f>Main!S34+(2*Main!U34)</f>
        <v>54</v>
      </c>
      <c r="D35" s="22">
        <f>Main!C34</f>
        <v>61.542946761910066</v>
      </c>
      <c r="E35" s="22">
        <f>(Main!D34/2)+Main!U34</f>
        <v>3.15</v>
      </c>
      <c r="F35" s="22">
        <f>(Main!D34/2)+Main!U34</f>
        <v>3.15</v>
      </c>
      <c r="G35" s="22">
        <f>(Main!D34/2)+Main!U34</f>
        <v>3.15</v>
      </c>
      <c r="H35" s="22">
        <f>(Main!D34/2)+Main!U34</f>
        <v>3.15</v>
      </c>
      <c r="I35" s="22">
        <f>Main!D34</f>
        <v>2.2999999999999998</v>
      </c>
      <c r="J35" s="22">
        <f>Main!D34</f>
        <v>2.2999999999999998</v>
      </c>
      <c r="K35" s="22">
        <f>Main!C34</f>
        <v>61.542946761910066</v>
      </c>
      <c r="L35" s="22">
        <f>(Main!S34/2)-(Main!D34/2)</f>
        <v>23.85</v>
      </c>
      <c r="M35" s="22">
        <f>Main!C34</f>
        <v>61.542946761910066</v>
      </c>
      <c r="N35" s="22">
        <f>(Main!S34/2)-(Main!D34/2)</f>
        <v>23.85</v>
      </c>
      <c r="O35" s="22">
        <f>Main!C34</f>
        <v>61.542946761910066</v>
      </c>
      <c r="P35" s="22">
        <f>(Main!S34/2)-(Main!D34/2)</f>
        <v>23.85</v>
      </c>
      <c r="Q35" s="22">
        <f>Main!C34</f>
        <v>61.542946761910066</v>
      </c>
      <c r="R35" s="22">
        <f>(Main!S34/2)-(Main!D34/2)</f>
        <v>23.85</v>
      </c>
      <c r="S35" s="22">
        <f>Main!C34</f>
        <v>61.542946761910066</v>
      </c>
      <c r="T35" s="22">
        <f>Main!S34</f>
        <v>50</v>
      </c>
      <c r="U35" s="22">
        <f>Main!S34</f>
        <v>50</v>
      </c>
      <c r="V35" s="22">
        <f>Main!T34</f>
        <v>10</v>
      </c>
      <c r="W35" s="22">
        <f>Main!R34+(Main!U34*2)</f>
        <v>8.8494391844283271</v>
      </c>
      <c r="X35" s="22">
        <f>Main!R34+(Main!U34*2)</f>
        <v>8.8494391844283271</v>
      </c>
      <c r="Y35" s="22">
        <v>3</v>
      </c>
      <c r="Z35" s="22">
        <f>Main!D34</f>
        <v>2.2999999999999998</v>
      </c>
      <c r="AA35" s="22">
        <f>Main!D34</f>
        <v>2.2999999999999998</v>
      </c>
      <c r="AB35" s="22">
        <v>3</v>
      </c>
      <c r="AC35" s="22">
        <f>(Main!R34/2)-(Main!D34/2)</f>
        <v>1.2747195922141636</v>
      </c>
      <c r="AD35" s="22">
        <v>3</v>
      </c>
      <c r="AE35" s="22">
        <f>(Main!R34/2)-(Main!D34/2)</f>
        <v>1.2747195922141636</v>
      </c>
      <c r="AF35" s="22">
        <v>3</v>
      </c>
      <c r="AG35" s="22">
        <f>(Main!R34/2)-(Main!D34/2)</f>
        <v>1.2747195922141636</v>
      </c>
      <c r="AH35" s="22">
        <v>3</v>
      </c>
      <c r="AI35" s="22">
        <f>(Main!R34/2)-(Main!D34/2)</f>
        <v>1.2747195922141636</v>
      </c>
      <c r="AJ35" s="22">
        <v>3</v>
      </c>
    </row>
    <row r="36" spans="1:36" ht="15" customHeight="1" x14ac:dyDescent="0.45">
      <c r="A36" s="22">
        <v>33</v>
      </c>
      <c r="B36" s="22">
        <f>Main!S35+(2*Main!U35)</f>
        <v>54</v>
      </c>
      <c r="C36" s="22">
        <f>Main!S35+(2*Main!U35)</f>
        <v>54</v>
      </c>
      <c r="D36" s="22">
        <f>Main!C35</f>
        <v>65.901303456159482</v>
      </c>
      <c r="E36" s="22">
        <f>(Main!D35/2)+Main!U35</f>
        <v>3.15</v>
      </c>
      <c r="F36" s="22">
        <f>(Main!D35/2)+Main!U35</f>
        <v>3.15</v>
      </c>
      <c r="G36" s="22">
        <f>(Main!D35/2)+Main!U35</f>
        <v>3.15</v>
      </c>
      <c r="H36" s="22">
        <f>(Main!D35/2)+Main!U35</f>
        <v>3.15</v>
      </c>
      <c r="I36" s="22">
        <f>Main!D35</f>
        <v>2.2999999999999998</v>
      </c>
      <c r="J36" s="22">
        <f>Main!D35</f>
        <v>2.2999999999999998</v>
      </c>
      <c r="K36" s="22">
        <f>Main!C35</f>
        <v>65.901303456159482</v>
      </c>
      <c r="L36" s="22">
        <f>(Main!S35/2)-(Main!D35/2)</f>
        <v>23.85</v>
      </c>
      <c r="M36" s="22">
        <f>Main!C35</f>
        <v>65.901303456159482</v>
      </c>
      <c r="N36" s="22">
        <f>(Main!S35/2)-(Main!D35/2)</f>
        <v>23.85</v>
      </c>
      <c r="O36" s="22">
        <f>Main!C35</f>
        <v>65.901303456159482</v>
      </c>
      <c r="P36" s="22">
        <f>(Main!S35/2)-(Main!D35/2)</f>
        <v>23.85</v>
      </c>
      <c r="Q36" s="22">
        <f>Main!C35</f>
        <v>65.901303456159482</v>
      </c>
      <c r="R36" s="22">
        <f>(Main!S35/2)-(Main!D35/2)</f>
        <v>23.85</v>
      </c>
      <c r="S36" s="22">
        <f>Main!C35</f>
        <v>65.901303456159482</v>
      </c>
      <c r="T36" s="22">
        <f>Main!S35</f>
        <v>50</v>
      </c>
      <c r="U36" s="22">
        <f>Main!S35</f>
        <v>50</v>
      </c>
      <c r="V36" s="22">
        <f>Main!T35</f>
        <v>10</v>
      </c>
      <c r="W36" s="22">
        <f>Main!R35+(Main!U35*2)</f>
        <v>8.680833030174842</v>
      </c>
      <c r="X36" s="22">
        <f>Main!R35+(Main!U35*2)</f>
        <v>8.680833030174842</v>
      </c>
      <c r="Y36" s="22">
        <v>3</v>
      </c>
      <c r="Z36" s="22">
        <f>Main!D35</f>
        <v>2.2999999999999998</v>
      </c>
      <c r="AA36" s="22">
        <f>Main!D35</f>
        <v>2.2999999999999998</v>
      </c>
      <c r="AB36" s="22">
        <v>3</v>
      </c>
      <c r="AC36" s="22">
        <f>(Main!R35/2)-(Main!D35/2)</f>
        <v>1.1904165150874211</v>
      </c>
      <c r="AD36" s="22">
        <v>3</v>
      </c>
      <c r="AE36" s="22">
        <f>(Main!R35/2)-(Main!D35/2)</f>
        <v>1.1904165150874211</v>
      </c>
      <c r="AF36" s="22">
        <v>3</v>
      </c>
      <c r="AG36" s="22">
        <f>(Main!R35/2)-(Main!D35/2)</f>
        <v>1.1904165150874211</v>
      </c>
      <c r="AH36" s="22">
        <v>3</v>
      </c>
      <c r="AI36" s="22">
        <f>(Main!R35/2)-(Main!D35/2)</f>
        <v>1.1904165150874211</v>
      </c>
      <c r="AJ36" s="22">
        <v>3</v>
      </c>
    </row>
    <row r="37" spans="1:36" ht="15" customHeight="1" x14ac:dyDescent="0.45">
      <c r="A37" s="22">
        <v>34</v>
      </c>
      <c r="B37" s="22">
        <f>Main!S36+(2*Main!U36)</f>
        <v>54</v>
      </c>
      <c r="C37" s="22">
        <f>Main!S36+(2*Main!U36)</f>
        <v>54</v>
      </c>
      <c r="D37" s="22">
        <f>Main!C36</f>
        <v>69.456101956631855</v>
      </c>
      <c r="E37" s="22">
        <f>(Main!D36/2)+Main!U36</f>
        <v>3.15</v>
      </c>
      <c r="F37" s="22">
        <f>(Main!D36/2)+Main!U36</f>
        <v>3.15</v>
      </c>
      <c r="G37" s="22">
        <f>(Main!D36/2)+Main!U36</f>
        <v>3.15</v>
      </c>
      <c r="H37" s="22">
        <f>(Main!D36/2)+Main!U36</f>
        <v>3.15</v>
      </c>
      <c r="I37" s="22">
        <f>Main!D36</f>
        <v>2.2999999999999998</v>
      </c>
      <c r="J37" s="22">
        <f>Main!D36</f>
        <v>2.2999999999999998</v>
      </c>
      <c r="K37" s="22">
        <f>Main!C36</f>
        <v>69.456101956631855</v>
      </c>
      <c r="L37" s="22">
        <f>(Main!S36/2)-(Main!D36/2)</f>
        <v>23.85</v>
      </c>
      <c r="M37" s="22">
        <f>Main!C36</f>
        <v>69.456101956631855</v>
      </c>
      <c r="N37" s="22">
        <f>(Main!S36/2)-(Main!D36/2)</f>
        <v>23.85</v>
      </c>
      <c r="O37" s="22">
        <f>Main!C36</f>
        <v>69.456101956631855</v>
      </c>
      <c r="P37" s="22">
        <f>(Main!S36/2)-(Main!D36/2)</f>
        <v>23.85</v>
      </c>
      <c r="Q37" s="22">
        <f>Main!C36</f>
        <v>69.456101956631855</v>
      </c>
      <c r="R37" s="22">
        <f>(Main!S36/2)-(Main!D36/2)</f>
        <v>23.85</v>
      </c>
      <c r="S37" s="22">
        <f>Main!C36</f>
        <v>69.456101956631855</v>
      </c>
      <c r="T37" s="22">
        <f>Main!S36</f>
        <v>50</v>
      </c>
      <c r="U37" s="22">
        <f>Main!S36</f>
        <v>50</v>
      </c>
      <c r="V37" s="22">
        <f>Main!T36</f>
        <v>10</v>
      </c>
      <c r="W37" s="22">
        <f>Main!R36+(Main!U36*2)</f>
        <v>8.5589807890164611</v>
      </c>
      <c r="X37" s="22">
        <f>Main!R36+(Main!U36*2)</f>
        <v>8.5589807890164611</v>
      </c>
      <c r="Y37" s="22">
        <v>3</v>
      </c>
      <c r="Z37" s="22">
        <f>Main!D36</f>
        <v>2.2999999999999998</v>
      </c>
      <c r="AA37" s="22">
        <f>Main!D36</f>
        <v>2.2999999999999998</v>
      </c>
      <c r="AB37" s="22">
        <v>3</v>
      </c>
      <c r="AC37" s="22">
        <f>(Main!R36/2)-(Main!D36/2)</f>
        <v>1.1294903945082306</v>
      </c>
      <c r="AD37" s="22">
        <v>3</v>
      </c>
      <c r="AE37" s="22">
        <f>(Main!R36/2)-(Main!D36/2)</f>
        <v>1.1294903945082306</v>
      </c>
      <c r="AF37" s="22">
        <v>3</v>
      </c>
      <c r="AG37" s="22">
        <f>(Main!R36/2)-(Main!D36/2)</f>
        <v>1.1294903945082306</v>
      </c>
      <c r="AH37" s="22">
        <v>3</v>
      </c>
      <c r="AI37" s="22">
        <f>(Main!R36/2)-(Main!D36/2)</f>
        <v>1.1294903945082306</v>
      </c>
      <c r="AJ37" s="22">
        <v>3</v>
      </c>
    </row>
    <row r="38" spans="1:36" ht="15" customHeight="1" x14ac:dyDescent="0.45">
      <c r="A38" s="22">
        <v>35</v>
      </c>
      <c r="B38" s="22">
        <f>Main!S37+(2*Main!U37)</f>
        <v>54</v>
      </c>
      <c r="C38" s="22">
        <f>Main!S37+(2*Main!U37)</f>
        <v>54</v>
      </c>
      <c r="D38" s="22">
        <f>Main!C37</f>
        <v>71.947650441269602</v>
      </c>
      <c r="E38" s="22">
        <f>(Main!D37/2)+Main!U37</f>
        <v>3.15</v>
      </c>
      <c r="F38" s="22">
        <f>(Main!D37/2)+Main!U37</f>
        <v>3.15</v>
      </c>
      <c r="G38" s="22">
        <f>(Main!D37/2)+Main!U37</f>
        <v>3.15</v>
      </c>
      <c r="H38" s="22">
        <f>(Main!D37/2)+Main!U37</f>
        <v>3.15</v>
      </c>
      <c r="I38" s="22">
        <f>Main!D37</f>
        <v>2.2999999999999998</v>
      </c>
      <c r="J38" s="22">
        <f>Main!D37</f>
        <v>2.2999999999999998</v>
      </c>
      <c r="K38" s="22">
        <f>Main!C37</f>
        <v>71.947650441269602</v>
      </c>
      <c r="L38" s="22">
        <f>(Main!S37/2)-(Main!D37/2)</f>
        <v>23.85</v>
      </c>
      <c r="M38" s="22">
        <f>Main!C37</f>
        <v>71.947650441269602</v>
      </c>
      <c r="N38" s="22">
        <f>(Main!S37/2)-(Main!D37/2)</f>
        <v>23.85</v>
      </c>
      <c r="O38" s="22">
        <f>Main!C37</f>
        <v>71.947650441269602</v>
      </c>
      <c r="P38" s="22">
        <f>(Main!S37/2)-(Main!D37/2)</f>
        <v>23.85</v>
      </c>
      <c r="Q38" s="22">
        <f>Main!C37</f>
        <v>71.947650441269602</v>
      </c>
      <c r="R38" s="22">
        <f>(Main!S37/2)-(Main!D37/2)</f>
        <v>23.85</v>
      </c>
      <c r="S38" s="22">
        <f>Main!C37</f>
        <v>71.947650441269602</v>
      </c>
      <c r="T38" s="22">
        <f>Main!S37</f>
        <v>50</v>
      </c>
      <c r="U38" s="22">
        <f>Main!S37</f>
        <v>50</v>
      </c>
      <c r="V38" s="22">
        <f>Main!T37</f>
        <v>10</v>
      </c>
      <c r="W38" s="22">
        <f>Main!R37+(Main!U37*2)</f>
        <v>8.4807522419106149</v>
      </c>
      <c r="X38" s="22">
        <f>Main!R37+(Main!U37*2)</f>
        <v>8.4807522419106149</v>
      </c>
      <c r="Y38" s="22">
        <v>3</v>
      </c>
      <c r="Z38" s="22">
        <f>Main!D37</f>
        <v>2.2999999999999998</v>
      </c>
      <c r="AA38" s="22">
        <f>Main!D37</f>
        <v>2.2999999999999998</v>
      </c>
      <c r="AB38" s="22">
        <v>3</v>
      </c>
      <c r="AC38" s="22">
        <f>(Main!R37/2)-(Main!D37/2)</f>
        <v>1.090376120955308</v>
      </c>
      <c r="AD38" s="22">
        <v>3</v>
      </c>
      <c r="AE38" s="22">
        <f>(Main!R37/2)-(Main!D37/2)</f>
        <v>1.090376120955308</v>
      </c>
      <c r="AF38" s="22">
        <v>3</v>
      </c>
      <c r="AG38" s="22">
        <f>(Main!R37/2)-(Main!D37/2)</f>
        <v>1.090376120955308</v>
      </c>
      <c r="AH38" s="22">
        <v>3</v>
      </c>
      <c r="AI38" s="22">
        <f>(Main!R37/2)-(Main!D37/2)</f>
        <v>1.090376120955308</v>
      </c>
      <c r="AJ38" s="22">
        <v>3</v>
      </c>
    </row>
    <row r="39" spans="1:36" ht="15" customHeight="1" x14ac:dyDescent="0.45">
      <c r="A39" s="22">
        <v>36</v>
      </c>
      <c r="B39" s="22">
        <f>Main!S38+(2*Main!U38)</f>
        <v>54</v>
      </c>
      <c r="C39" s="22">
        <f>Main!S38+(2*Main!U38)</f>
        <v>54</v>
      </c>
      <c r="D39" s="22">
        <f>Main!C38</f>
        <v>73.440195299021383</v>
      </c>
      <c r="E39" s="22">
        <f>(Main!D38/2)+Main!U38</f>
        <v>3.15</v>
      </c>
      <c r="F39" s="22">
        <f>(Main!D38/2)+Main!U38</f>
        <v>3.15</v>
      </c>
      <c r="G39" s="22">
        <f>(Main!D38/2)+Main!U38</f>
        <v>3.15</v>
      </c>
      <c r="H39" s="22">
        <f>(Main!D38/2)+Main!U38</f>
        <v>3.15</v>
      </c>
      <c r="I39" s="22">
        <f>Main!D38</f>
        <v>2.2999999999999998</v>
      </c>
      <c r="J39" s="22">
        <f>Main!D38</f>
        <v>2.2999999999999998</v>
      </c>
      <c r="K39" s="22">
        <f>Main!C38</f>
        <v>73.440195299021383</v>
      </c>
      <c r="L39" s="22">
        <f>(Main!S38/2)-(Main!D38/2)</f>
        <v>23.85</v>
      </c>
      <c r="M39" s="22">
        <f>Main!C38</f>
        <v>73.440195299021383</v>
      </c>
      <c r="N39" s="22">
        <f>(Main!S38/2)-(Main!D38/2)</f>
        <v>23.85</v>
      </c>
      <c r="O39" s="22">
        <f>Main!C38</f>
        <v>73.440195299021383</v>
      </c>
      <c r="P39" s="22">
        <f>(Main!S38/2)-(Main!D38/2)</f>
        <v>23.85</v>
      </c>
      <c r="Q39" s="22">
        <f>Main!C38</f>
        <v>73.440195299021383</v>
      </c>
      <c r="R39" s="22">
        <f>(Main!S38/2)-(Main!D38/2)</f>
        <v>23.85</v>
      </c>
      <c r="S39" s="22">
        <f>Main!C38</f>
        <v>73.440195299021383</v>
      </c>
      <c r="T39" s="22">
        <f>Main!S38</f>
        <v>50</v>
      </c>
      <c r="U39" s="22">
        <f>Main!S38</f>
        <v>50</v>
      </c>
      <c r="V39" s="22">
        <f>Main!T38</f>
        <v>10</v>
      </c>
      <c r="W39" s="22">
        <f>Main!R38+(Main!U38*2)</f>
        <v>8.4364322270816565</v>
      </c>
      <c r="X39" s="22">
        <f>Main!R38+(Main!U38*2)</f>
        <v>8.4364322270816565</v>
      </c>
      <c r="Y39" s="22">
        <v>3</v>
      </c>
      <c r="Z39" s="22">
        <f>Main!D38</f>
        <v>2.2999999999999998</v>
      </c>
      <c r="AA39" s="22">
        <f>Main!D38</f>
        <v>2.2999999999999998</v>
      </c>
      <c r="AB39" s="22">
        <v>3</v>
      </c>
      <c r="AC39" s="22">
        <f>(Main!R38/2)-(Main!D38/2)</f>
        <v>1.0682161135408279</v>
      </c>
      <c r="AD39" s="22">
        <v>3</v>
      </c>
      <c r="AE39" s="22">
        <f>(Main!R38/2)-(Main!D38/2)</f>
        <v>1.0682161135408279</v>
      </c>
      <c r="AF39" s="22">
        <v>3</v>
      </c>
      <c r="AG39" s="22">
        <f>(Main!R38/2)-(Main!D38/2)</f>
        <v>1.0682161135408279</v>
      </c>
      <c r="AH39" s="22">
        <v>3</v>
      </c>
      <c r="AI39" s="22">
        <f>(Main!R38/2)-(Main!D38/2)</f>
        <v>1.0682161135408279</v>
      </c>
      <c r="AJ39" s="22">
        <v>3</v>
      </c>
    </row>
    <row r="40" spans="1:36" ht="15" customHeight="1" x14ac:dyDescent="0.45">
      <c r="A40" s="22">
        <v>37</v>
      </c>
      <c r="B40" s="22">
        <f>Main!S39+(2*Main!U39)</f>
        <v>54</v>
      </c>
      <c r="C40" s="22">
        <f>Main!S39+(2*Main!U39)</f>
        <v>54</v>
      </c>
      <c r="D40" s="22">
        <f>Main!C39</f>
        <v>74.23489395049215</v>
      </c>
      <c r="E40" s="22">
        <f>(Main!D39/2)+Main!U39</f>
        <v>3.15</v>
      </c>
      <c r="F40" s="22">
        <f>(Main!D39/2)+Main!U39</f>
        <v>3.15</v>
      </c>
      <c r="G40" s="22">
        <f>(Main!D39/2)+Main!U39</f>
        <v>3.15</v>
      </c>
      <c r="H40" s="22">
        <f>(Main!D39/2)+Main!U39</f>
        <v>3.15</v>
      </c>
      <c r="I40" s="22">
        <f>Main!D39</f>
        <v>2.2999999999999998</v>
      </c>
      <c r="J40" s="22">
        <f>Main!D39</f>
        <v>2.2999999999999998</v>
      </c>
      <c r="K40" s="22">
        <f>Main!C39</f>
        <v>74.23489395049215</v>
      </c>
      <c r="L40" s="22">
        <f>(Main!S39/2)-(Main!D39/2)</f>
        <v>23.85</v>
      </c>
      <c r="M40" s="22">
        <f>Main!C39</f>
        <v>74.23489395049215</v>
      </c>
      <c r="N40" s="22">
        <f>(Main!S39/2)-(Main!D39/2)</f>
        <v>23.85</v>
      </c>
      <c r="O40" s="22">
        <f>Main!C39</f>
        <v>74.23489395049215</v>
      </c>
      <c r="P40" s="22">
        <f>(Main!S39/2)-(Main!D39/2)</f>
        <v>23.85</v>
      </c>
      <c r="Q40" s="22">
        <f>Main!C39</f>
        <v>74.23489395049215</v>
      </c>
      <c r="R40" s="22">
        <f>(Main!S39/2)-(Main!D39/2)</f>
        <v>23.85</v>
      </c>
      <c r="S40" s="22">
        <f>Main!C39</f>
        <v>74.23489395049215</v>
      </c>
      <c r="T40" s="22">
        <f>Main!S39</f>
        <v>50</v>
      </c>
      <c r="U40" s="22">
        <f>Main!S39</f>
        <v>50</v>
      </c>
      <c r="V40" s="22">
        <f>Main!T39</f>
        <v>10</v>
      </c>
      <c r="W40" s="22">
        <f>Main!R39+(Main!U39*2)</f>
        <v>8.413561313964264</v>
      </c>
      <c r="X40" s="22">
        <f>Main!R39+(Main!U39*2)</f>
        <v>8.413561313964264</v>
      </c>
      <c r="Y40" s="22">
        <v>3</v>
      </c>
      <c r="Z40" s="22">
        <f>Main!D39</f>
        <v>2.2999999999999998</v>
      </c>
      <c r="AA40" s="22">
        <f>Main!D39</f>
        <v>2.2999999999999998</v>
      </c>
      <c r="AB40" s="22">
        <v>3</v>
      </c>
      <c r="AC40" s="22">
        <f>(Main!R39/2)-(Main!D39/2)</f>
        <v>1.0567806569821321</v>
      </c>
      <c r="AD40" s="22">
        <v>3</v>
      </c>
      <c r="AE40" s="22">
        <f>(Main!R39/2)-(Main!D39/2)</f>
        <v>1.0567806569821321</v>
      </c>
      <c r="AF40" s="22">
        <v>3</v>
      </c>
      <c r="AG40" s="22">
        <f>(Main!R39/2)-(Main!D39/2)</f>
        <v>1.0567806569821321</v>
      </c>
      <c r="AH40" s="22">
        <v>3</v>
      </c>
      <c r="AI40" s="22">
        <f>(Main!R39/2)-(Main!D39/2)</f>
        <v>1.0567806569821321</v>
      </c>
      <c r="AJ40" s="22">
        <v>3</v>
      </c>
    </row>
    <row r="41" spans="1:36" ht="15" customHeight="1" x14ac:dyDescent="0.45">
      <c r="A41" s="22">
        <v>38</v>
      </c>
      <c r="B41" s="22">
        <f>Main!S40+(2*Main!U40)</f>
        <v>54</v>
      </c>
      <c r="C41" s="22">
        <f>Main!S40+(2*Main!U40)</f>
        <v>54</v>
      </c>
      <c r="D41" s="22">
        <f>Main!C40</f>
        <v>74.730216836283262</v>
      </c>
      <c r="E41" s="22">
        <f>(Main!D40/2)+Main!U40</f>
        <v>3.15</v>
      </c>
      <c r="F41" s="22">
        <f>(Main!D40/2)+Main!U40</f>
        <v>3.15</v>
      </c>
      <c r="G41" s="22">
        <f>(Main!D40/2)+Main!U40</f>
        <v>3.15</v>
      </c>
      <c r="H41" s="22">
        <f>(Main!D40/2)+Main!U40</f>
        <v>3.15</v>
      </c>
      <c r="I41" s="22">
        <f>Main!D40</f>
        <v>2.2999999999999998</v>
      </c>
      <c r="J41" s="22">
        <f>Main!D40</f>
        <v>2.2999999999999998</v>
      </c>
      <c r="K41" s="22">
        <f>Main!C40</f>
        <v>74.730216836283262</v>
      </c>
      <c r="L41" s="22">
        <f>(Main!S40/2)-(Main!D40/2)</f>
        <v>23.85</v>
      </c>
      <c r="M41" s="22">
        <f>Main!C40</f>
        <v>74.730216836283262</v>
      </c>
      <c r="N41" s="22">
        <f>(Main!S40/2)-(Main!D40/2)</f>
        <v>23.85</v>
      </c>
      <c r="O41" s="22">
        <f>Main!C40</f>
        <v>74.730216836283262</v>
      </c>
      <c r="P41" s="22">
        <f>(Main!S40/2)-(Main!D40/2)</f>
        <v>23.85</v>
      </c>
      <c r="Q41" s="22">
        <f>Main!C40</f>
        <v>74.730216836283262</v>
      </c>
      <c r="R41" s="22">
        <f>(Main!S40/2)-(Main!D40/2)</f>
        <v>23.85</v>
      </c>
      <c r="S41" s="22">
        <f>Main!C40</f>
        <v>74.730216836283262</v>
      </c>
      <c r="T41" s="22">
        <f>Main!S40</f>
        <v>50</v>
      </c>
      <c r="U41" s="22">
        <f>Main!S40</f>
        <v>50</v>
      </c>
      <c r="V41" s="22">
        <f>Main!T40</f>
        <v>10</v>
      </c>
      <c r="W41" s="22">
        <f>Main!R40+(Main!U40*2)</f>
        <v>8.3995523182239893</v>
      </c>
      <c r="X41" s="22">
        <f>Main!R40+(Main!U40*2)</f>
        <v>8.3995523182239893</v>
      </c>
      <c r="Y41" s="22">
        <v>3</v>
      </c>
      <c r="Z41" s="22">
        <f>Main!D40</f>
        <v>2.2999999999999998</v>
      </c>
      <c r="AA41" s="22">
        <f>Main!D40</f>
        <v>2.2999999999999998</v>
      </c>
      <c r="AB41" s="22">
        <v>3</v>
      </c>
      <c r="AC41" s="22">
        <f>(Main!R40/2)-(Main!D40/2)</f>
        <v>1.0497761591119952</v>
      </c>
      <c r="AD41" s="22">
        <v>3</v>
      </c>
      <c r="AE41" s="22">
        <f>(Main!R40/2)-(Main!D40/2)</f>
        <v>1.0497761591119952</v>
      </c>
      <c r="AF41" s="22">
        <v>3</v>
      </c>
      <c r="AG41" s="22">
        <f>(Main!R40/2)-(Main!D40/2)</f>
        <v>1.0497761591119952</v>
      </c>
      <c r="AH41" s="22">
        <v>3</v>
      </c>
      <c r="AI41" s="22">
        <f>(Main!R40/2)-(Main!D40/2)</f>
        <v>1.0497761591119952</v>
      </c>
      <c r="AJ41" s="22">
        <v>3</v>
      </c>
    </row>
    <row r="42" spans="1:36" ht="15" customHeight="1" x14ac:dyDescent="0.45">
      <c r="A42" s="22">
        <v>39</v>
      </c>
      <c r="B42" s="22">
        <f>Main!S41+(2*Main!U41)</f>
        <v>54</v>
      </c>
      <c r="C42" s="22">
        <f>Main!S41+(2*Main!U41)</f>
        <v>54</v>
      </c>
      <c r="D42" s="22">
        <f>Main!C41</f>
        <v>75.301270838583804</v>
      </c>
      <c r="E42" s="22">
        <f>(Main!D41/2)+Main!U41</f>
        <v>3.15</v>
      </c>
      <c r="F42" s="22">
        <f>(Main!D41/2)+Main!U41</f>
        <v>3.15</v>
      </c>
      <c r="G42" s="22">
        <f>(Main!D41/2)+Main!U41</f>
        <v>3.15</v>
      </c>
      <c r="H42" s="22">
        <f>(Main!D41/2)+Main!U41</f>
        <v>3.15</v>
      </c>
      <c r="I42" s="22">
        <f>Main!D41</f>
        <v>2.2999999999999998</v>
      </c>
      <c r="J42" s="22">
        <f>Main!D41</f>
        <v>2.2999999999999998</v>
      </c>
      <c r="K42" s="22">
        <f>Main!C41</f>
        <v>75.301270838583804</v>
      </c>
      <c r="L42" s="22">
        <f>(Main!S41/2)-(Main!D41/2)</f>
        <v>23.85</v>
      </c>
      <c r="M42" s="22">
        <f>Main!C41</f>
        <v>75.301270838583804</v>
      </c>
      <c r="N42" s="22">
        <f>(Main!S41/2)-(Main!D41/2)</f>
        <v>23.85</v>
      </c>
      <c r="O42" s="22">
        <f>Main!C41</f>
        <v>75.301270838583804</v>
      </c>
      <c r="P42" s="22">
        <f>(Main!S41/2)-(Main!D41/2)</f>
        <v>23.85</v>
      </c>
      <c r="Q42" s="22">
        <f>Main!C41</f>
        <v>75.301270838583804</v>
      </c>
      <c r="R42" s="22">
        <f>(Main!S41/2)-(Main!D41/2)</f>
        <v>23.85</v>
      </c>
      <c r="S42" s="22">
        <f>Main!C41</f>
        <v>75.301270838583804</v>
      </c>
      <c r="T42" s="22">
        <f>Main!S41</f>
        <v>50</v>
      </c>
      <c r="U42" s="22">
        <f>Main!S41</f>
        <v>50</v>
      </c>
      <c r="V42" s="22">
        <f>Main!T41</f>
        <v>10</v>
      </c>
      <c r="W42" s="22">
        <f>Main!R41+(Main!U41*2)</f>
        <v>8.3836301732055976</v>
      </c>
      <c r="X42" s="22">
        <f>Main!R41+(Main!U41*2)</f>
        <v>8.3836301732055976</v>
      </c>
      <c r="Y42" s="22">
        <v>3</v>
      </c>
      <c r="Z42" s="22">
        <f>Main!D41</f>
        <v>2.2999999999999998</v>
      </c>
      <c r="AA42" s="22">
        <f>Main!D41</f>
        <v>2.2999999999999998</v>
      </c>
      <c r="AB42" s="22">
        <v>3</v>
      </c>
      <c r="AC42" s="22">
        <f>(Main!R41/2)-(Main!D41/2)</f>
        <v>1.0418150866027989</v>
      </c>
      <c r="AD42" s="22">
        <v>3</v>
      </c>
      <c r="AE42" s="22">
        <f>(Main!R41/2)-(Main!D41/2)</f>
        <v>1.0418150866027989</v>
      </c>
      <c r="AF42" s="22">
        <v>3</v>
      </c>
      <c r="AG42" s="22">
        <f>(Main!R41/2)-(Main!D41/2)</f>
        <v>1.0418150866027989</v>
      </c>
      <c r="AH42" s="22">
        <v>3</v>
      </c>
      <c r="AI42" s="22">
        <f>(Main!R41/2)-(Main!D41/2)</f>
        <v>1.0418150866027989</v>
      </c>
      <c r="AJ42" s="22">
        <v>3</v>
      </c>
    </row>
    <row r="43" spans="1:36" ht="15" customHeight="1" x14ac:dyDescent="0.45">
      <c r="A43" s="22">
        <v>40</v>
      </c>
      <c r="B43" s="22">
        <f>Main!S42+(2*Main!U42)</f>
        <v>54</v>
      </c>
      <c r="C43" s="22">
        <f>Main!S42+(2*Main!U42)</f>
        <v>54</v>
      </c>
      <c r="D43" s="22">
        <f>Main!C42</f>
        <v>76.22926480315779</v>
      </c>
      <c r="E43" s="22">
        <f>(Main!D42/2)+Main!U42</f>
        <v>3.15</v>
      </c>
      <c r="F43" s="22">
        <f>(Main!D42/2)+Main!U42</f>
        <v>3.15</v>
      </c>
      <c r="G43" s="22">
        <f>(Main!D42/2)+Main!U42</f>
        <v>3.15</v>
      </c>
      <c r="H43" s="22">
        <f>(Main!D42/2)+Main!U42</f>
        <v>3.15</v>
      </c>
      <c r="I43" s="22">
        <f>Main!D42</f>
        <v>2.2999999999999998</v>
      </c>
      <c r="J43" s="22">
        <f>Main!D42</f>
        <v>2.2999999999999998</v>
      </c>
      <c r="K43" s="22">
        <f>Main!C42</f>
        <v>76.22926480315779</v>
      </c>
      <c r="L43" s="22">
        <f>(Main!S42/2)-(Main!D42/2)</f>
        <v>23.85</v>
      </c>
      <c r="M43" s="22">
        <f>Main!C42</f>
        <v>76.22926480315779</v>
      </c>
      <c r="N43" s="22">
        <f>(Main!S42/2)-(Main!D42/2)</f>
        <v>23.85</v>
      </c>
      <c r="O43" s="22">
        <f>Main!C42</f>
        <v>76.22926480315779</v>
      </c>
      <c r="P43" s="22">
        <f>(Main!S42/2)-(Main!D42/2)</f>
        <v>23.85</v>
      </c>
      <c r="Q43" s="22">
        <f>Main!C42</f>
        <v>76.22926480315779</v>
      </c>
      <c r="R43" s="22">
        <f>(Main!S42/2)-(Main!D42/2)</f>
        <v>23.85</v>
      </c>
      <c r="S43" s="22">
        <f>Main!C42</f>
        <v>76.22926480315779</v>
      </c>
      <c r="T43" s="22">
        <f>Main!S42</f>
        <v>50</v>
      </c>
      <c r="U43" s="22">
        <f>Main!S42</f>
        <v>50</v>
      </c>
      <c r="V43" s="22">
        <f>Main!T42</f>
        <v>10</v>
      </c>
      <c r="W43" s="22">
        <f>Main!R42+(Main!U42*2)</f>
        <v>8.3582646363591913</v>
      </c>
      <c r="X43" s="22">
        <f>Main!R42+(Main!U42*2)</f>
        <v>8.3582646363591913</v>
      </c>
      <c r="Y43" s="22">
        <v>3</v>
      </c>
      <c r="Z43" s="22">
        <f>Main!D42</f>
        <v>2.2999999999999998</v>
      </c>
      <c r="AA43" s="22">
        <f>Main!D42</f>
        <v>2.2999999999999998</v>
      </c>
      <c r="AB43" s="22">
        <v>3</v>
      </c>
      <c r="AC43" s="22">
        <f>(Main!R42/2)-(Main!D42/2)</f>
        <v>1.0291323181795953</v>
      </c>
      <c r="AD43" s="22">
        <v>3</v>
      </c>
      <c r="AE43" s="22">
        <f>(Main!R42/2)-(Main!D42/2)</f>
        <v>1.0291323181795953</v>
      </c>
      <c r="AF43" s="22">
        <v>3</v>
      </c>
      <c r="AG43" s="22">
        <f>(Main!R42/2)-(Main!D42/2)</f>
        <v>1.0291323181795953</v>
      </c>
      <c r="AH43" s="22">
        <v>3</v>
      </c>
      <c r="AI43" s="22">
        <f>(Main!R42/2)-(Main!D42/2)</f>
        <v>1.0291323181795953</v>
      </c>
      <c r="AJ43" s="22">
        <v>3</v>
      </c>
    </row>
    <row r="44" spans="1:36" ht="15" customHeight="1" x14ac:dyDescent="0.45">
      <c r="A44" s="22">
        <v>41</v>
      </c>
      <c r="B44" s="22">
        <f>Main!S43+(2*Main!U43)</f>
        <v>54</v>
      </c>
      <c r="C44" s="22">
        <f>Main!S43+(2*Main!U43)</f>
        <v>54</v>
      </c>
      <c r="D44" s="22">
        <f>Main!C43</f>
        <v>86.638243895697059</v>
      </c>
      <c r="E44" s="22">
        <f>(Main!D43/2)+Main!U43</f>
        <v>3.15</v>
      </c>
      <c r="F44" s="22">
        <f>(Main!D43/2)+Main!U43</f>
        <v>3.15</v>
      </c>
      <c r="G44" s="22">
        <f>(Main!D43/2)+Main!U43</f>
        <v>3.15</v>
      </c>
      <c r="H44" s="22">
        <f>(Main!D43/2)+Main!U43</f>
        <v>3.15</v>
      </c>
      <c r="I44" s="22">
        <f>Main!D43</f>
        <v>2.2999999999999998</v>
      </c>
      <c r="J44" s="22">
        <f>Main!D43</f>
        <v>2.2999999999999998</v>
      </c>
      <c r="K44" s="22">
        <f>Main!C43</f>
        <v>86.638243895697059</v>
      </c>
      <c r="L44" s="22">
        <f>(Main!S43/2)-(Main!D43/2)</f>
        <v>23.85</v>
      </c>
      <c r="M44" s="22">
        <f>Main!C43</f>
        <v>86.638243895697059</v>
      </c>
      <c r="N44" s="22">
        <f>(Main!S43/2)-(Main!D43/2)</f>
        <v>23.85</v>
      </c>
      <c r="O44" s="22">
        <f>Main!C43</f>
        <v>86.638243895697059</v>
      </c>
      <c r="P44" s="22">
        <f>(Main!S43/2)-(Main!D43/2)</f>
        <v>23.85</v>
      </c>
      <c r="Q44" s="22">
        <f>Main!C43</f>
        <v>86.638243895697059</v>
      </c>
      <c r="R44" s="22">
        <f>(Main!S43/2)-(Main!D43/2)</f>
        <v>23.85</v>
      </c>
      <c r="S44" s="22">
        <f>Main!C43</f>
        <v>86.638243895697059</v>
      </c>
      <c r="T44" s="22">
        <f>Main!S43</f>
        <v>50</v>
      </c>
      <c r="U44" s="22">
        <f>Main!S43</f>
        <v>50</v>
      </c>
      <c r="V44" s="22">
        <f>Main!T43</f>
        <v>10</v>
      </c>
      <c r="W44" s="22">
        <f>Main!R43+(Main!U43*2)</f>
        <v>8.1109785349399566</v>
      </c>
      <c r="X44" s="22">
        <f>Main!R43+(Main!U43*2)</f>
        <v>8.1109785349399566</v>
      </c>
      <c r="Y44" s="22">
        <v>3</v>
      </c>
      <c r="Z44" s="22">
        <f>Main!D43</f>
        <v>2.2999999999999998</v>
      </c>
      <c r="AA44" s="22">
        <f>Main!D43</f>
        <v>2.2999999999999998</v>
      </c>
      <c r="AB44" s="22">
        <v>3</v>
      </c>
      <c r="AC44" s="22">
        <f>(Main!R43/2)-(Main!D43/2)</f>
        <v>0.90548926746997793</v>
      </c>
      <c r="AD44" s="22">
        <v>3</v>
      </c>
      <c r="AE44" s="22">
        <f>(Main!R43/2)-(Main!D43/2)</f>
        <v>0.90548926746997793</v>
      </c>
      <c r="AF44" s="22">
        <v>3</v>
      </c>
      <c r="AG44" s="22">
        <f>(Main!R43/2)-(Main!D43/2)</f>
        <v>0.90548926746997793</v>
      </c>
      <c r="AH44" s="22">
        <v>3</v>
      </c>
      <c r="AI44" s="22">
        <f>(Main!R43/2)-(Main!D43/2)</f>
        <v>0.90548926746997793</v>
      </c>
      <c r="AJ44" s="22">
        <v>3</v>
      </c>
    </row>
    <row r="45" spans="1:36" ht="15" customHeight="1" x14ac:dyDescent="0.45">
      <c r="A45" s="22">
        <v>42</v>
      </c>
      <c r="B45" s="22">
        <f>Main!S44+(2*Main!U44)</f>
        <v>54</v>
      </c>
      <c r="C45" s="22">
        <f>Main!S44+(2*Main!U44)</f>
        <v>54</v>
      </c>
      <c r="D45" s="22">
        <f>Main!C44</f>
        <v>80.058832079886542</v>
      </c>
      <c r="E45" s="22">
        <f>(Main!D44/2)+Main!U44</f>
        <v>3.15</v>
      </c>
      <c r="F45" s="22">
        <f>(Main!D44/2)+Main!U44</f>
        <v>3.15</v>
      </c>
      <c r="G45" s="22">
        <f>(Main!D44/2)+Main!U44</f>
        <v>3.15</v>
      </c>
      <c r="H45" s="22">
        <f>(Main!D44/2)+Main!U44</f>
        <v>3.15</v>
      </c>
      <c r="I45" s="22">
        <f>Main!D44</f>
        <v>2.2999999999999998</v>
      </c>
      <c r="J45" s="22">
        <f>Main!D44</f>
        <v>2.2999999999999998</v>
      </c>
      <c r="K45" s="22">
        <f>Main!C44</f>
        <v>80.058832079886542</v>
      </c>
      <c r="L45" s="22">
        <f>(Main!S44/2)-(Main!D44/2)</f>
        <v>23.85</v>
      </c>
      <c r="M45" s="22">
        <f>Main!C44</f>
        <v>80.058832079886542</v>
      </c>
      <c r="N45" s="22">
        <f>(Main!S44/2)-(Main!D44/2)</f>
        <v>23.85</v>
      </c>
      <c r="O45" s="22">
        <f>Main!C44</f>
        <v>80.058832079886542</v>
      </c>
      <c r="P45" s="22">
        <f>(Main!S44/2)-(Main!D44/2)</f>
        <v>23.85</v>
      </c>
      <c r="Q45" s="22">
        <f>Main!C44</f>
        <v>80.058832079886542</v>
      </c>
      <c r="R45" s="22">
        <f>(Main!S44/2)-(Main!D44/2)</f>
        <v>23.85</v>
      </c>
      <c r="S45" s="22">
        <f>Main!C44</f>
        <v>80.058832079886542</v>
      </c>
      <c r="T45" s="22">
        <f>Main!S44</f>
        <v>50</v>
      </c>
      <c r="U45" s="22">
        <f>Main!S44</f>
        <v>50</v>
      </c>
      <c r="V45" s="22">
        <f>Main!T44</f>
        <v>10</v>
      </c>
      <c r="W45" s="22">
        <f>Main!R44+(Main!U44*2)</f>
        <v>8.2598087546847747</v>
      </c>
      <c r="X45" s="22">
        <f>Main!R44+(Main!U44*2)</f>
        <v>8.2598087546847747</v>
      </c>
      <c r="Y45" s="22">
        <v>3</v>
      </c>
      <c r="Z45" s="22">
        <f>Main!D44</f>
        <v>2.2999999999999998</v>
      </c>
      <c r="AA45" s="22">
        <f>Main!D44</f>
        <v>2.2999999999999998</v>
      </c>
      <c r="AB45" s="22">
        <v>3</v>
      </c>
      <c r="AC45" s="22">
        <f>(Main!R44/2)-(Main!D44/2)</f>
        <v>0.97990437734238744</v>
      </c>
      <c r="AD45" s="22">
        <v>3</v>
      </c>
      <c r="AE45" s="22">
        <f>(Main!R44/2)-(Main!D44/2)</f>
        <v>0.97990437734238744</v>
      </c>
      <c r="AF45" s="22">
        <v>3</v>
      </c>
      <c r="AG45" s="22">
        <f>(Main!R44/2)-(Main!D44/2)</f>
        <v>0.97990437734238744</v>
      </c>
      <c r="AH45" s="22">
        <v>3</v>
      </c>
      <c r="AI45" s="22">
        <f>(Main!R44/2)-(Main!D44/2)</f>
        <v>0.97990437734238744</v>
      </c>
      <c r="AJ45" s="22">
        <v>3</v>
      </c>
    </row>
    <row r="46" spans="1:36" ht="15" customHeight="1" x14ac:dyDescent="0.45">
      <c r="A46" s="22">
        <v>43</v>
      </c>
      <c r="B46" s="22">
        <f>Main!S45+(2*Main!U45)</f>
        <v>54</v>
      </c>
      <c r="C46" s="22">
        <f>Main!S45+(2*Main!U45)</f>
        <v>54</v>
      </c>
      <c r="D46" s="22">
        <f>Main!C45</f>
        <v>72.859398120776603</v>
      </c>
      <c r="E46" s="22">
        <f>(Main!D45/2)+Main!U45</f>
        <v>3.15</v>
      </c>
      <c r="F46" s="22">
        <f>(Main!D45/2)+Main!U45</f>
        <v>3.15</v>
      </c>
      <c r="G46" s="22">
        <f>(Main!D45/2)+Main!U45</f>
        <v>3.15</v>
      </c>
      <c r="H46" s="22">
        <f>(Main!D45/2)+Main!U45</f>
        <v>3.15</v>
      </c>
      <c r="I46" s="22">
        <f>Main!D45</f>
        <v>2.2999999999999998</v>
      </c>
      <c r="J46" s="22">
        <f>Main!D45</f>
        <v>2.2999999999999998</v>
      </c>
      <c r="K46" s="22">
        <f>Main!C45</f>
        <v>72.859398120776603</v>
      </c>
      <c r="L46" s="22">
        <f>(Main!S45/2)-(Main!D45/2)</f>
        <v>23.85</v>
      </c>
      <c r="M46" s="22">
        <f>Main!C45</f>
        <v>72.859398120776603</v>
      </c>
      <c r="N46" s="22">
        <f>(Main!S45/2)-(Main!D45/2)</f>
        <v>23.85</v>
      </c>
      <c r="O46" s="22">
        <f>Main!C45</f>
        <v>72.859398120776603</v>
      </c>
      <c r="P46" s="22">
        <f>(Main!S45/2)-(Main!D45/2)</f>
        <v>23.85</v>
      </c>
      <c r="Q46" s="22">
        <f>Main!C45</f>
        <v>72.859398120776603</v>
      </c>
      <c r="R46" s="22">
        <f>(Main!S45/2)-(Main!D45/2)</f>
        <v>23.85</v>
      </c>
      <c r="S46" s="22">
        <f>Main!C45</f>
        <v>72.859398120776603</v>
      </c>
      <c r="T46" s="22">
        <f>Main!S45</f>
        <v>50</v>
      </c>
      <c r="U46" s="22">
        <f>Main!S45</f>
        <v>50</v>
      </c>
      <c r="V46" s="22">
        <f>Main!T45</f>
        <v>10</v>
      </c>
      <c r="W46" s="22">
        <f>Main!R45+(Main!U45*2)</f>
        <v>8.4534627521889778</v>
      </c>
      <c r="X46" s="22">
        <f>Main!R45+(Main!U45*2)</f>
        <v>8.4534627521889778</v>
      </c>
      <c r="Y46" s="22">
        <v>3</v>
      </c>
      <c r="Z46" s="22">
        <f>Main!D45</f>
        <v>2.2999999999999998</v>
      </c>
      <c r="AA46" s="22">
        <f>Main!D45</f>
        <v>2.2999999999999998</v>
      </c>
      <c r="AB46" s="22">
        <v>3</v>
      </c>
      <c r="AC46" s="22">
        <f>(Main!R45/2)-(Main!D45/2)</f>
        <v>1.076731376094489</v>
      </c>
      <c r="AD46" s="22">
        <v>3</v>
      </c>
      <c r="AE46" s="22">
        <f>(Main!R45/2)-(Main!D45/2)</f>
        <v>1.076731376094489</v>
      </c>
      <c r="AF46" s="22">
        <v>3</v>
      </c>
      <c r="AG46" s="22">
        <f>(Main!R45/2)-(Main!D45/2)</f>
        <v>1.076731376094489</v>
      </c>
      <c r="AH46" s="22">
        <v>3</v>
      </c>
      <c r="AI46" s="22">
        <f>(Main!R45/2)-(Main!D45/2)</f>
        <v>1.076731376094489</v>
      </c>
      <c r="AJ46" s="22">
        <v>3</v>
      </c>
    </row>
    <row r="47" spans="1:36" ht="15" customHeight="1" x14ac:dyDescent="0.45">
      <c r="A47" s="22">
        <v>44</v>
      </c>
      <c r="B47" s="22">
        <f>Main!S46+(2*Main!U46)</f>
        <v>54</v>
      </c>
      <c r="C47" s="22">
        <f>Main!S46+(2*Main!U46)</f>
        <v>54</v>
      </c>
      <c r="D47" s="22">
        <f>Main!C46</f>
        <v>65.690836749438887</v>
      </c>
      <c r="E47" s="22">
        <f>(Main!D46/2)+Main!U46</f>
        <v>3.15</v>
      </c>
      <c r="F47" s="22">
        <f>(Main!D46/2)+Main!U46</f>
        <v>3.15</v>
      </c>
      <c r="G47" s="22">
        <f>(Main!D46/2)+Main!U46</f>
        <v>3.15</v>
      </c>
      <c r="H47" s="22">
        <f>(Main!D46/2)+Main!U46</f>
        <v>3.15</v>
      </c>
      <c r="I47" s="22">
        <f>Main!D46</f>
        <v>2.2999999999999998</v>
      </c>
      <c r="J47" s="22">
        <f>Main!D46</f>
        <v>2.2999999999999998</v>
      </c>
      <c r="K47" s="22">
        <f>Main!C46</f>
        <v>65.690836749438887</v>
      </c>
      <c r="L47" s="22">
        <f>(Main!S46/2)-(Main!D46/2)</f>
        <v>23.85</v>
      </c>
      <c r="M47" s="22">
        <f>Main!C46</f>
        <v>65.690836749438887</v>
      </c>
      <c r="N47" s="22">
        <f>(Main!S46/2)-(Main!D46/2)</f>
        <v>23.85</v>
      </c>
      <c r="O47" s="22">
        <f>Main!C46</f>
        <v>65.690836749438887</v>
      </c>
      <c r="P47" s="22">
        <f>(Main!S46/2)-(Main!D46/2)</f>
        <v>23.85</v>
      </c>
      <c r="Q47" s="22">
        <f>Main!C46</f>
        <v>65.690836749438887</v>
      </c>
      <c r="R47" s="22">
        <f>(Main!S46/2)-(Main!D46/2)</f>
        <v>23.85</v>
      </c>
      <c r="S47" s="22">
        <f>Main!C46</f>
        <v>65.690836749438887</v>
      </c>
      <c r="T47" s="22">
        <f>Main!S46</f>
        <v>50</v>
      </c>
      <c r="U47" s="22">
        <f>Main!S46</f>
        <v>50</v>
      </c>
      <c r="V47" s="22">
        <f>Main!T46</f>
        <v>10</v>
      </c>
      <c r="W47" s="22">
        <f>Main!R46+(Main!U46*2)</f>
        <v>8.6884609751350155</v>
      </c>
      <c r="X47" s="22">
        <f>Main!R46+(Main!U46*2)</f>
        <v>8.6884609751350155</v>
      </c>
      <c r="Y47" s="22">
        <v>3</v>
      </c>
      <c r="Z47" s="22">
        <f>Main!D46</f>
        <v>2.2999999999999998</v>
      </c>
      <c r="AA47" s="22">
        <f>Main!D46</f>
        <v>2.2999999999999998</v>
      </c>
      <c r="AB47" s="22">
        <v>3</v>
      </c>
      <c r="AC47" s="22">
        <f>(Main!R46/2)-(Main!D46/2)</f>
        <v>1.1942304875675083</v>
      </c>
      <c r="AD47" s="22">
        <v>3</v>
      </c>
      <c r="AE47" s="22">
        <f>(Main!R46/2)-(Main!D46/2)</f>
        <v>1.1942304875675083</v>
      </c>
      <c r="AF47" s="22">
        <v>3</v>
      </c>
      <c r="AG47" s="22">
        <f>(Main!R46/2)-(Main!D46/2)</f>
        <v>1.1942304875675083</v>
      </c>
      <c r="AH47" s="22">
        <v>3</v>
      </c>
      <c r="AI47" s="22">
        <f>(Main!R46/2)-(Main!D46/2)</f>
        <v>1.1942304875675083</v>
      </c>
      <c r="AJ47" s="22">
        <v>3</v>
      </c>
    </row>
    <row r="48" spans="1:36" ht="15" customHeight="1" x14ac:dyDescent="0.45">
      <c r="A48" s="22">
        <v>45</v>
      </c>
      <c r="B48" s="22">
        <f>Main!S47+(2*Main!U47)</f>
        <v>54</v>
      </c>
      <c r="C48" s="22">
        <f>Main!S47+(2*Main!U47)</f>
        <v>54</v>
      </c>
      <c r="D48" s="22">
        <f>Main!C47</f>
        <v>59.199305669602019</v>
      </c>
      <c r="E48" s="22">
        <f>(Main!D47/2)+Main!U47</f>
        <v>3.15</v>
      </c>
      <c r="F48" s="22">
        <f>(Main!D47/2)+Main!U47</f>
        <v>3.15</v>
      </c>
      <c r="G48" s="22">
        <f>(Main!D47/2)+Main!U47</f>
        <v>3.15</v>
      </c>
      <c r="H48" s="22">
        <f>(Main!D47/2)+Main!U47</f>
        <v>3.15</v>
      </c>
      <c r="I48" s="22">
        <f>Main!D47</f>
        <v>2.2999999999999998</v>
      </c>
      <c r="J48" s="22">
        <f>Main!D47</f>
        <v>2.2999999999999998</v>
      </c>
      <c r="K48" s="22">
        <f>Main!C47</f>
        <v>59.199305669602019</v>
      </c>
      <c r="L48" s="22">
        <f>(Main!S47/2)-(Main!D47/2)</f>
        <v>23.85</v>
      </c>
      <c r="M48" s="22">
        <f>Main!C47</f>
        <v>59.199305669602019</v>
      </c>
      <c r="N48" s="22">
        <f>(Main!S47/2)-(Main!D47/2)</f>
        <v>23.85</v>
      </c>
      <c r="O48" s="22">
        <f>Main!C47</f>
        <v>59.199305669602019</v>
      </c>
      <c r="P48" s="22">
        <f>(Main!S47/2)-(Main!D47/2)</f>
        <v>23.85</v>
      </c>
      <c r="Q48" s="22">
        <f>Main!C47</f>
        <v>59.199305669602019</v>
      </c>
      <c r="R48" s="22">
        <f>(Main!S47/2)-(Main!D47/2)</f>
        <v>23.85</v>
      </c>
      <c r="S48" s="22">
        <f>Main!C47</f>
        <v>59.199305669602019</v>
      </c>
      <c r="T48" s="22">
        <f>Main!S47</f>
        <v>50</v>
      </c>
      <c r="U48" s="22">
        <f>Main!S47</f>
        <v>50</v>
      </c>
      <c r="V48" s="22">
        <f>Main!T47</f>
        <v>10</v>
      </c>
      <c r="W48" s="22">
        <f>Main!R47+(Main!U47*2)</f>
        <v>8.9503689228329222</v>
      </c>
      <c r="X48" s="22">
        <f>Main!R47+(Main!U47*2)</f>
        <v>8.9503689228329222</v>
      </c>
      <c r="Y48" s="22">
        <v>3</v>
      </c>
      <c r="Z48" s="22">
        <f>Main!D47</f>
        <v>2.2999999999999998</v>
      </c>
      <c r="AA48" s="22">
        <f>Main!D47</f>
        <v>2.2999999999999998</v>
      </c>
      <c r="AB48" s="22">
        <v>3</v>
      </c>
      <c r="AC48" s="22">
        <f>(Main!R47/2)-(Main!D47/2)</f>
        <v>1.3251844614164612</v>
      </c>
      <c r="AD48" s="22">
        <v>3</v>
      </c>
      <c r="AE48" s="22">
        <f>(Main!R47/2)-(Main!D47/2)</f>
        <v>1.3251844614164612</v>
      </c>
      <c r="AF48" s="22">
        <v>3</v>
      </c>
      <c r="AG48" s="22">
        <f>(Main!R47/2)-(Main!D47/2)</f>
        <v>1.3251844614164612</v>
      </c>
      <c r="AH48" s="22">
        <v>3</v>
      </c>
      <c r="AI48" s="22">
        <f>(Main!R47/2)-(Main!D47/2)</f>
        <v>1.3251844614164612</v>
      </c>
      <c r="AJ48" s="22">
        <v>3</v>
      </c>
    </row>
    <row r="49" spans="1:36" ht="15" customHeight="1" x14ac:dyDescent="0.45">
      <c r="A49" s="22">
        <v>46</v>
      </c>
      <c r="B49" s="22">
        <f>Main!S48+(2*Main!U48)</f>
        <v>54</v>
      </c>
      <c r="C49" s="22">
        <f>Main!S48+(2*Main!U48)</f>
        <v>54</v>
      </c>
      <c r="D49" s="22">
        <f>Main!C48</f>
        <v>53.969214753514009</v>
      </c>
      <c r="E49" s="22">
        <f>(Main!D48/2)+Main!U48</f>
        <v>3.15</v>
      </c>
      <c r="F49" s="22">
        <f>(Main!D48/2)+Main!U48</f>
        <v>3.15</v>
      </c>
      <c r="G49" s="22">
        <f>(Main!D48/2)+Main!U48</f>
        <v>3.15</v>
      </c>
      <c r="H49" s="22">
        <f>(Main!D48/2)+Main!U48</f>
        <v>3.15</v>
      </c>
      <c r="I49" s="22">
        <f>Main!D48</f>
        <v>2.2999999999999998</v>
      </c>
      <c r="J49" s="22">
        <f>Main!D48</f>
        <v>2.2999999999999998</v>
      </c>
      <c r="K49" s="22">
        <f>Main!C48</f>
        <v>53.969214753514009</v>
      </c>
      <c r="L49" s="22">
        <f>(Main!S48/2)-(Main!D48/2)</f>
        <v>23.85</v>
      </c>
      <c r="M49" s="22">
        <f>Main!C48</f>
        <v>53.969214753514009</v>
      </c>
      <c r="N49" s="22">
        <f>(Main!S48/2)-(Main!D48/2)</f>
        <v>23.85</v>
      </c>
      <c r="O49" s="22">
        <f>Main!C48</f>
        <v>53.969214753514009</v>
      </c>
      <c r="P49" s="22">
        <f>(Main!S48/2)-(Main!D48/2)</f>
        <v>23.85</v>
      </c>
      <c r="Q49" s="22">
        <f>Main!C48</f>
        <v>53.969214753514009</v>
      </c>
      <c r="R49" s="22">
        <f>(Main!S48/2)-(Main!D48/2)</f>
        <v>23.85</v>
      </c>
      <c r="S49" s="22">
        <f>Main!C48</f>
        <v>53.969214753514009</v>
      </c>
      <c r="T49" s="22">
        <f>Main!S48</f>
        <v>50</v>
      </c>
      <c r="U49" s="22">
        <f>Main!S48</f>
        <v>50</v>
      </c>
      <c r="V49" s="22">
        <f>Main!T48</f>
        <v>10</v>
      </c>
      <c r="W49" s="22">
        <f>Main!R48+(Main!U48*2)</f>
        <v>9.2072129493932273</v>
      </c>
      <c r="X49" s="22">
        <f>Main!R48+(Main!U48*2)</f>
        <v>9.2072129493932273</v>
      </c>
      <c r="Y49" s="22">
        <v>3</v>
      </c>
      <c r="Z49" s="22">
        <f>Main!D48</f>
        <v>2.2999999999999998</v>
      </c>
      <c r="AA49" s="22">
        <f>Main!D48</f>
        <v>2.2999999999999998</v>
      </c>
      <c r="AB49" s="22">
        <v>3</v>
      </c>
      <c r="AC49" s="22">
        <f>(Main!R48/2)-(Main!D48/2)</f>
        <v>1.4536064746966142</v>
      </c>
      <c r="AD49" s="22">
        <v>3</v>
      </c>
      <c r="AE49" s="22">
        <f>(Main!R48/2)-(Main!D48/2)</f>
        <v>1.4536064746966142</v>
      </c>
      <c r="AF49" s="22">
        <v>3</v>
      </c>
      <c r="AG49" s="22">
        <f>(Main!R48/2)-(Main!D48/2)</f>
        <v>1.4536064746966142</v>
      </c>
      <c r="AH49" s="22">
        <v>3</v>
      </c>
      <c r="AI49" s="22">
        <f>(Main!R48/2)-(Main!D48/2)</f>
        <v>1.4536064746966142</v>
      </c>
      <c r="AJ49" s="22">
        <v>3</v>
      </c>
    </row>
    <row r="50" spans="1:36" ht="15" customHeight="1" x14ac:dyDescent="0.45">
      <c r="A50" s="22">
        <v>47</v>
      </c>
      <c r="B50" s="22">
        <f>Main!S49+(2*Main!U49)</f>
        <v>54</v>
      </c>
      <c r="C50" s="22">
        <f>Main!S49+(2*Main!U49)</f>
        <v>54</v>
      </c>
      <c r="D50" s="22">
        <f>Main!C49</f>
        <v>50.495913662547991</v>
      </c>
      <c r="E50" s="22">
        <f>(Main!D49/2)+Main!U49</f>
        <v>3.15</v>
      </c>
      <c r="F50" s="22">
        <f>(Main!D49/2)+Main!U49</f>
        <v>3.15</v>
      </c>
      <c r="G50" s="22">
        <f>(Main!D49/2)+Main!U49</f>
        <v>3.15</v>
      </c>
      <c r="H50" s="22">
        <f>(Main!D49/2)+Main!U49</f>
        <v>3.15</v>
      </c>
      <c r="I50" s="22">
        <f>Main!D49</f>
        <v>2.2999999999999998</v>
      </c>
      <c r="J50" s="22">
        <f>Main!D49</f>
        <v>2.2999999999999998</v>
      </c>
      <c r="K50" s="22">
        <f>Main!C49</f>
        <v>50.495913662547991</v>
      </c>
      <c r="L50" s="22">
        <f>(Main!S49/2)-(Main!D49/2)</f>
        <v>23.85</v>
      </c>
      <c r="M50" s="22">
        <f>Main!C49</f>
        <v>50.495913662547991</v>
      </c>
      <c r="N50" s="22">
        <f>(Main!S49/2)-(Main!D49/2)</f>
        <v>23.85</v>
      </c>
      <c r="O50" s="22">
        <f>Main!C49</f>
        <v>50.495913662547991</v>
      </c>
      <c r="P50" s="22">
        <f>(Main!S49/2)-(Main!D49/2)</f>
        <v>23.85</v>
      </c>
      <c r="Q50" s="22">
        <f>Main!C49</f>
        <v>50.495913662547991</v>
      </c>
      <c r="R50" s="22">
        <f>(Main!S49/2)-(Main!D49/2)</f>
        <v>23.85</v>
      </c>
      <c r="S50" s="22">
        <f>Main!C49</f>
        <v>50.495913662547991</v>
      </c>
      <c r="T50" s="22">
        <f>Main!S49</f>
        <v>50</v>
      </c>
      <c r="U50" s="22">
        <f>Main!S49</f>
        <v>50</v>
      </c>
      <c r="V50" s="22">
        <f>Main!T49</f>
        <v>10</v>
      </c>
      <c r="W50" s="22">
        <f>Main!R49+(Main!U49*2)</f>
        <v>9.4071821187061762</v>
      </c>
      <c r="X50" s="22">
        <f>Main!R49+(Main!U49*2)</f>
        <v>9.4071821187061762</v>
      </c>
      <c r="Y50" s="22">
        <v>3</v>
      </c>
      <c r="Z50" s="22">
        <f>Main!D49</f>
        <v>2.2999999999999998</v>
      </c>
      <c r="AA50" s="22">
        <f>Main!D49</f>
        <v>2.2999999999999998</v>
      </c>
      <c r="AB50" s="22">
        <v>3</v>
      </c>
      <c r="AC50" s="22">
        <f>(Main!R49/2)-(Main!D49/2)</f>
        <v>1.5535910593530882</v>
      </c>
      <c r="AD50" s="22">
        <v>3</v>
      </c>
      <c r="AE50" s="22">
        <f>(Main!R49/2)-(Main!D49/2)</f>
        <v>1.5535910593530882</v>
      </c>
      <c r="AF50" s="22">
        <v>3</v>
      </c>
      <c r="AG50" s="22">
        <f>(Main!R49/2)-(Main!D49/2)</f>
        <v>1.5535910593530882</v>
      </c>
      <c r="AH50" s="22">
        <v>3</v>
      </c>
      <c r="AI50" s="22">
        <f>(Main!R49/2)-(Main!D49/2)</f>
        <v>1.5535910593530882</v>
      </c>
      <c r="AJ50" s="22">
        <v>3</v>
      </c>
    </row>
    <row r="51" spans="1:36" ht="15" customHeight="1" x14ac:dyDescent="0.45">
      <c r="A51" s="22">
        <v>48</v>
      </c>
      <c r="B51" s="22">
        <f>Main!S50+(2*Main!U50)</f>
        <v>54</v>
      </c>
      <c r="C51" s="22">
        <f>Main!S50+(2*Main!U50)</f>
        <v>54</v>
      </c>
      <c r="D51" s="22">
        <f>Main!C50</f>
        <v>49.145501948456534</v>
      </c>
      <c r="E51" s="22">
        <f>(Main!D50/2)+Main!U50</f>
        <v>3.15</v>
      </c>
      <c r="F51" s="22">
        <f>(Main!D50/2)+Main!U50</f>
        <v>3.15</v>
      </c>
      <c r="G51" s="22">
        <f>(Main!D50/2)+Main!U50</f>
        <v>3.15</v>
      </c>
      <c r="H51" s="22">
        <f>(Main!D50/2)+Main!U50</f>
        <v>3.15</v>
      </c>
      <c r="I51" s="22">
        <f>Main!D50</f>
        <v>2.2999999999999998</v>
      </c>
      <c r="J51" s="22">
        <f>Main!D50</f>
        <v>2.2999999999999998</v>
      </c>
      <c r="K51" s="22">
        <f>Main!C50</f>
        <v>49.145501948456534</v>
      </c>
      <c r="L51" s="22">
        <f>(Main!S50/2)-(Main!D50/2)</f>
        <v>23.85</v>
      </c>
      <c r="M51" s="22">
        <f>Main!C50</f>
        <v>49.145501948456534</v>
      </c>
      <c r="N51" s="22">
        <f>(Main!S50/2)-(Main!D50/2)</f>
        <v>23.85</v>
      </c>
      <c r="O51" s="22">
        <f>Main!C50</f>
        <v>49.145501948456534</v>
      </c>
      <c r="P51" s="22">
        <f>(Main!S50/2)-(Main!D50/2)</f>
        <v>23.85</v>
      </c>
      <c r="Q51" s="22">
        <f>Main!C50</f>
        <v>49.145501948456534</v>
      </c>
      <c r="R51" s="22">
        <f>(Main!S50/2)-(Main!D50/2)</f>
        <v>23.85</v>
      </c>
      <c r="S51" s="22">
        <f>Main!C50</f>
        <v>49.145501948456534</v>
      </c>
      <c r="T51" s="22">
        <f>Main!S50</f>
        <v>50</v>
      </c>
      <c r="U51" s="22">
        <f>Main!S50</f>
        <v>50</v>
      </c>
      <c r="V51" s="22">
        <f>Main!T50</f>
        <v>10</v>
      </c>
      <c r="W51" s="22">
        <f>Main!R50+(Main!U50*2)</f>
        <v>9.4925607386115551</v>
      </c>
      <c r="X51" s="22">
        <f>Main!R50+(Main!U50*2)</f>
        <v>9.4925607386115551</v>
      </c>
      <c r="Y51" s="22">
        <v>3</v>
      </c>
      <c r="Z51" s="22">
        <f>Main!D50</f>
        <v>2.2999999999999998</v>
      </c>
      <c r="AA51" s="22">
        <f>Main!D50</f>
        <v>2.2999999999999998</v>
      </c>
      <c r="AB51" s="22">
        <v>3</v>
      </c>
      <c r="AC51" s="22">
        <f>(Main!R50/2)-(Main!D50/2)</f>
        <v>1.5962803693057777</v>
      </c>
      <c r="AD51" s="22">
        <v>3</v>
      </c>
      <c r="AE51" s="22">
        <f>(Main!R50/2)-(Main!D50/2)</f>
        <v>1.5962803693057777</v>
      </c>
      <c r="AF51" s="22">
        <v>3</v>
      </c>
      <c r="AG51" s="22">
        <f>(Main!R50/2)-(Main!D50/2)</f>
        <v>1.5962803693057777</v>
      </c>
      <c r="AH51" s="22">
        <v>3</v>
      </c>
      <c r="AI51" s="22">
        <f>(Main!R50/2)-(Main!D50/2)</f>
        <v>1.5962803693057777</v>
      </c>
      <c r="AJ51" s="22">
        <v>3</v>
      </c>
    </row>
    <row r="52" spans="1:36" ht="15" customHeight="1" x14ac:dyDescent="0.45">
      <c r="A52" s="22">
        <v>49</v>
      </c>
      <c r="B52" s="22">
        <f>Main!S51+(2*Main!U51)</f>
        <v>54</v>
      </c>
      <c r="C52" s="22">
        <f>Main!S51+(2*Main!U51)</f>
        <v>54</v>
      </c>
      <c r="D52" s="22">
        <f>Main!C51</f>
        <v>50.067327093521619</v>
      </c>
      <c r="E52" s="22">
        <f>(Main!D51/2)+Main!U51</f>
        <v>3.15</v>
      </c>
      <c r="F52" s="22">
        <f>(Main!D51/2)+Main!U51</f>
        <v>3.15</v>
      </c>
      <c r="G52" s="22">
        <f>(Main!D51/2)+Main!U51</f>
        <v>3.15</v>
      </c>
      <c r="H52" s="22">
        <f>(Main!D51/2)+Main!U51</f>
        <v>3.15</v>
      </c>
      <c r="I52" s="22">
        <f>Main!D51</f>
        <v>2.2999999999999998</v>
      </c>
      <c r="J52" s="22">
        <f>Main!D51</f>
        <v>2.2999999999999998</v>
      </c>
      <c r="K52" s="22">
        <f>Main!C51</f>
        <v>50.067327093521619</v>
      </c>
      <c r="L52" s="22">
        <f>(Main!S51/2)-(Main!D51/2)</f>
        <v>23.85</v>
      </c>
      <c r="M52" s="22">
        <f>Main!C51</f>
        <v>50.067327093521619</v>
      </c>
      <c r="N52" s="22">
        <f>(Main!S51/2)-(Main!D51/2)</f>
        <v>23.85</v>
      </c>
      <c r="O52" s="22">
        <f>Main!C51</f>
        <v>50.067327093521619</v>
      </c>
      <c r="P52" s="22">
        <f>(Main!S51/2)-(Main!D51/2)</f>
        <v>23.85</v>
      </c>
      <c r="Q52" s="22">
        <f>Main!C51</f>
        <v>50.067327093521619</v>
      </c>
      <c r="R52" s="22">
        <f>(Main!S51/2)-(Main!D51/2)</f>
        <v>23.85</v>
      </c>
      <c r="S52" s="22">
        <f>Main!C51</f>
        <v>50.067327093521619</v>
      </c>
      <c r="T52" s="22">
        <f>Main!S51</f>
        <v>50</v>
      </c>
      <c r="U52" s="22">
        <f>Main!S51</f>
        <v>50</v>
      </c>
      <c r="V52" s="22">
        <f>Main!T51</f>
        <v>10</v>
      </c>
      <c r="W52" s="22">
        <f>Main!R51+(Main!U51*2)</f>
        <v>9.4337802337025849</v>
      </c>
      <c r="X52" s="22">
        <f>Main!R51+(Main!U51*2)</f>
        <v>9.4337802337025849</v>
      </c>
      <c r="Y52" s="22">
        <v>3</v>
      </c>
      <c r="Z52" s="22">
        <f>Main!D51</f>
        <v>2.2999999999999998</v>
      </c>
      <c r="AA52" s="22">
        <f>Main!D51</f>
        <v>2.2999999999999998</v>
      </c>
      <c r="AB52" s="22">
        <v>3</v>
      </c>
      <c r="AC52" s="22">
        <f>(Main!R51/2)-(Main!D51/2)</f>
        <v>1.566890116851293</v>
      </c>
      <c r="AD52" s="22">
        <v>3</v>
      </c>
      <c r="AE52" s="22">
        <f>(Main!R51/2)-(Main!D51/2)</f>
        <v>1.566890116851293</v>
      </c>
      <c r="AF52" s="22">
        <v>3</v>
      </c>
      <c r="AG52" s="22">
        <f>(Main!R51/2)-(Main!D51/2)</f>
        <v>1.566890116851293</v>
      </c>
      <c r="AH52" s="22">
        <v>3</v>
      </c>
      <c r="AI52" s="22">
        <f>(Main!R51/2)-(Main!D51/2)</f>
        <v>1.566890116851293</v>
      </c>
      <c r="AJ52" s="22">
        <v>3</v>
      </c>
    </row>
    <row r="53" spans="1:36" ht="15" customHeight="1" x14ac:dyDescent="0.45">
      <c r="A53" s="22">
        <v>50</v>
      </c>
      <c r="B53" s="22">
        <f>Main!S52+(2*Main!U52)</f>
        <v>54</v>
      </c>
      <c r="C53" s="22">
        <f>Main!S52+(2*Main!U52)</f>
        <v>54</v>
      </c>
      <c r="D53" s="22">
        <f>Main!C52</f>
        <v>52.883243871265748</v>
      </c>
      <c r="E53" s="22">
        <f>(Main!D52/2)+Main!U52</f>
        <v>3.15</v>
      </c>
      <c r="F53" s="22">
        <f>(Main!D52/2)+Main!U52</f>
        <v>3.15</v>
      </c>
      <c r="G53" s="22">
        <f>(Main!D52/2)+Main!U52</f>
        <v>3.15</v>
      </c>
      <c r="H53" s="22">
        <f>(Main!D52/2)+Main!U52</f>
        <v>3.15</v>
      </c>
      <c r="I53" s="22">
        <f>Main!D52</f>
        <v>2.2999999999999998</v>
      </c>
      <c r="J53" s="22">
        <f>Main!D52</f>
        <v>2.2999999999999998</v>
      </c>
      <c r="K53" s="22">
        <f>Main!C52</f>
        <v>52.883243871265748</v>
      </c>
      <c r="L53" s="22">
        <f>(Main!S52/2)-(Main!D52/2)</f>
        <v>23.85</v>
      </c>
      <c r="M53" s="22">
        <f>Main!C52</f>
        <v>52.883243871265748</v>
      </c>
      <c r="N53" s="22">
        <f>(Main!S52/2)-(Main!D52/2)</f>
        <v>23.85</v>
      </c>
      <c r="O53" s="22">
        <f>Main!C52</f>
        <v>52.883243871265748</v>
      </c>
      <c r="P53" s="22">
        <f>(Main!S52/2)-(Main!D52/2)</f>
        <v>23.85</v>
      </c>
      <c r="Q53" s="22">
        <f>Main!C52</f>
        <v>52.883243871265748</v>
      </c>
      <c r="R53" s="22">
        <f>(Main!S52/2)-(Main!D52/2)</f>
        <v>23.85</v>
      </c>
      <c r="S53" s="22">
        <f>Main!C52</f>
        <v>52.883243871265748</v>
      </c>
      <c r="T53" s="22">
        <f>Main!S52</f>
        <v>50</v>
      </c>
      <c r="U53" s="22">
        <f>Main!S52</f>
        <v>50</v>
      </c>
      <c r="V53" s="22">
        <f>Main!T52</f>
        <v>10</v>
      </c>
      <c r="W53" s="22">
        <f>Main!R52+(Main!U52*2)</f>
        <v>9.2669133077755852</v>
      </c>
      <c r="X53" s="22">
        <f>Main!R52+(Main!U52*2)</f>
        <v>9.2669133077755852</v>
      </c>
      <c r="Y53" s="22">
        <v>3</v>
      </c>
      <c r="Z53" s="22">
        <f>Main!D52</f>
        <v>2.2999999999999998</v>
      </c>
      <c r="AA53" s="22">
        <f>Main!D52</f>
        <v>2.2999999999999998</v>
      </c>
      <c r="AB53" s="22">
        <v>3</v>
      </c>
      <c r="AC53" s="22">
        <f>(Main!R52/2)-(Main!D52/2)</f>
        <v>1.4834566538877927</v>
      </c>
      <c r="AD53" s="22">
        <v>3</v>
      </c>
      <c r="AE53" s="22">
        <f>(Main!R52/2)-(Main!D52/2)</f>
        <v>1.4834566538877927</v>
      </c>
      <c r="AF53" s="22">
        <v>3</v>
      </c>
      <c r="AG53" s="22">
        <f>(Main!R52/2)-(Main!D52/2)</f>
        <v>1.4834566538877927</v>
      </c>
      <c r="AH53" s="22">
        <v>3</v>
      </c>
      <c r="AI53" s="22">
        <f>(Main!R52/2)-(Main!D52/2)</f>
        <v>1.4834566538877927</v>
      </c>
      <c r="AJ53" s="22">
        <v>3</v>
      </c>
    </row>
    <row r="54" spans="1:36" ht="15" customHeight="1" x14ac:dyDescent="0.45">
      <c r="A54" s="22">
        <v>51</v>
      </c>
      <c r="B54" s="22">
        <f>Main!S53+(2*Main!U53)</f>
        <v>54</v>
      </c>
      <c r="C54" s="22">
        <f>Main!S53+(2*Main!U53)</f>
        <v>54</v>
      </c>
      <c r="D54" s="22">
        <f>Main!C53</f>
        <v>56.956125596086267</v>
      </c>
      <c r="E54" s="22">
        <f>(Main!D53/2)+Main!U53</f>
        <v>3.15</v>
      </c>
      <c r="F54" s="22">
        <f>(Main!D53/2)+Main!U53</f>
        <v>3.15</v>
      </c>
      <c r="G54" s="22">
        <f>(Main!D53/2)+Main!U53</f>
        <v>3.15</v>
      </c>
      <c r="H54" s="22">
        <f>(Main!D53/2)+Main!U53</f>
        <v>3.15</v>
      </c>
      <c r="I54" s="22">
        <f>Main!D53</f>
        <v>2.2999999999999998</v>
      </c>
      <c r="J54" s="22">
        <f>Main!D53</f>
        <v>2.2999999999999998</v>
      </c>
      <c r="K54" s="22">
        <f>Main!C53</f>
        <v>56.956125596086267</v>
      </c>
      <c r="L54" s="22">
        <f>(Main!S53/2)-(Main!D53/2)</f>
        <v>23.85</v>
      </c>
      <c r="M54" s="22">
        <f>Main!C53</f>
        <v>56.956125596086267</v>
      </c>
      <c r="N54" s="22">
        <f>(Main!S53/2)-(Main!D53/2)</f>
        <v>23.85</v>
      </c>
      <c r="O54" s="22">
        <f>Main!C53</f>
        <v>56.956125596086267</v>
      </c>
      <c r="P54" s="22">
        <f>(Main!S53/2)-(Main!D53/2)</f>
        <v>23.85</v>
      </c>
      <c r="Q54" s="22">
        <f>Main!C53</f>
        <v>56.956125596086267</v>
      </c>
      <c r="R54" s="22">
        <f>(Main!S53/2)-(Main!D53/2)</f>
        <v>23.85</v>
      </c>
      <c r="S54" s="22">
        <f>Main!C53</f>
        <v>56.956125596086267</v>
      </c>
      <c r="T54" s="22">
        <f>Main!S53</f>
        <v>50</v>
      </c>
      <c r="U54" s="22">
        <f>Main!S53</f>
        <v>50</v>
      </c>
      <c r="V54" s="22">
        <f>Main!T53</f>
        <v>10</v>
      </c>
      <c r="W54" s="22">
        <f>Main!R53+(Main!U53*2)</f>
        <v>9.0547519842322508</v>
      </c>
      <c r="X54" s="22">
        <f>Main!R53+(Main!U53*2)</f>
        <v>9.0547519842322508</v>
      </c>
      <c r="Y54" s="22">
        <v>3</v>
      </c>
      <c r="Z54" s="22">
        <f>Main!D53</f>
        <v>2.2999999999999998</v>
      </c>
      <c r="AA54" s="22">
        <f>Main!D53</f>
        <v>2.2999999999999998</v>
      </c>
      <c r="AB54" s="22">
        <v>3</v>
      </c>
      <c r="AC54" s="22">
        <f>(Main!R53/2)-(Main!D53/2)</f>
        <v>1.3773759921161259</v>
      </c>
      <c r="AD54" s="22">
        <v>3</v>
      </c>
      <c r="AE54" s="22">
        <f>(Main!R53/2)-(Main!D53/2)</f>
        <v>1.3773759921161259</v>
      </c>
      <c r="AF54" s="22">
        <v>3</v>
      </c>
      <c r="AG54" s="22">
        <f>(Main!R53/2)-(Main!D53/2)</f>
        <v>1.3773759921161259</v>
      </c>
      <c r="AH54" s="22">
        <v>3</v>
      </c>
      <c r="AI54" s="22">
        <f>(Main!R53/2)-(Main!D53/2)</f>
        <v>1.3773759921161259</v>
      </c>
      <c r="AJ54" s="22">
        <v>3</v>
      </c>
    </row>
    <row r="55" spans="1:36" ht="15" customHeight="1" x14ac:dyDescent="0.45">
      <c r="A55" s="22">
        <v>52</v>
      </c>
      <c r="B55" s="22">
        <f>Main!S54+(2*Main!U54)</f>
        <v>54</v>
      </c>
      <c r="C55" s="22">
        <f>Main!S54+(2*Main!U54)</f>
        <v>54</v>
      </c>
      <c r="D55" s="22">
        <f>Main!C54</f>
        <v>61.542946761910066</v>
      </c>
      <c r="E55" s="22">
        <f>(Main!D54/2)+Main!U54</f>
        <v>3.15</v>
      </c>
      <c r="F55" s="22">
        <f>(Main!D54/2)+Main!U54</f>
        <v>3.15</v>
      </c>
      <c r="G55" s="22">
        <f>(Main!D54/2)+Main!U54</f>
        <v>3.15</v>
      </c>
      <c r="H55" s="22">
        <f>(Main!D54/2)+Main!U54</f>
        <v>3.15</v>
      </c>
      <c r="I55" s="22">
        <f>Main!D54</f>
        <v>2.2999999999999998</v>
      </c>
      <c r="J55" s="22">
        <f>Main!D54</f>
        <v>2.2999999999999998</v>
      </c>
      <c r="K55" s="22">
        <f>Main!C54</f>
        <v>61.542946761910066</v>
      </c>
      <c r="L55" s="22">
        <f>(Main!S54/2)-(Main!D54/2)</f>
        <v>23.85</v>
      </c>
      <c r="M55" s="22">
        <f>Main!C54</f>
        <v>61.542946761910066</v>
      </c>
      <c r="N55" s="22">
        <f>(Main!S54/2)-(Main!D54/2)</f>
        <v>23.85</v>
      </c>
      <c r="O55" s="22">
        <f>Main!C54</f>
        <v>61.542946761910066</v>
      </c>
      <c r="P55" s="22">
        <f>(Main!S54/2)-(Main!D54/2)</f>
        <v>23.85</v>
      </c>
      <c r="Q55" s="22">
        <f>Main!C54</f>
        <v>61.542946761910066</v>
      </c>
      <c r="R55" s="22">
        <f>(Main!S54/2)-(Main!D54/2)</f>
        <v>23.85</v>
      </c>
      <c r="S55" s="22">
        <f>Main!C54</f>
        <v>61.542946761910066</v>
      </c>
      <c r="T55" s="22">
        <f>Main!S54</f>
        <v>50</v>
      </c>
      <c r="U55" s="22">
        <f>Main!S54</f>
        <v>50</v>
      </c>
      <c r="V55" s="22">
        <f>Main!T54</f>
        <v>10</v>
      </c>
      <c r="W55" s="22">
        <f>Main!R54+(Main!U54*2)</f>
        <v>8.8494391844283271</v>
      </c>
      <c r="X55" s="22">
        <f>Main!R54+(Main!U54*2)</f>
        <v>8.8494391844283271</v>
      </c>
      <c r="Y55" s="22">
        <v>3</v>
      </c>
      <c r="Z55" s="22">
        <f>Main!D54</f>
        <v>2.2999999999999998</v>
      </c>
      <c r="AA55" s="22">
        <f>Main!D54</f>
        <v>2.2999999999999998</v>
      </c>
      <c r="AB55" s="22">
        <v>3</v>
      </c>
      <c r="AC55" s="22">
        <f>(Main!R54/2)-(Main!D54/2)</f>
        <v>1.2747195922141636</v>
      </c>
      <c r="AD55" s="22">
        <v>3</v>
      </c>
      <c r="AE55" s="22">
        <f>(Main!R54/2)-(Main!D54/2)</f>
        <v>1.2747195922141636</v>
      </c>
      <c r="AF55" s="22">
        <v>3</v>
      </c>
      <c r="AG55" s="22">
        <f>(Main!R54/2)-(Main!D54/2)</f>
        <v>1.2747195922141636</v>
      </c>
      <c r="AH55" s="22">
        <v>3</v>
      </c>
      <c r="AI55" s="22">
        <f>(Main!R54/2)-(Main!D54/2)</f>
        <v>1.2747195922141636</v>
      </c>
      <c r="AJ55" s="22">
        <v>3</v>
      </c>
    </row>
    <row r="56" spans="1:36" ht="15" customHeight="1" x14ac:dyDescent="0.45">
      <c r="A56" s="22">
        <v>53</v>
      </c>
      <c r="B56" s="22">
        <f>Main!S55+(2*Main!U55)</f>
        <v>54</v>
      </c>
      <c r="C56" s="22">
        <f>Main!S55+(2*Main!U55)</f>
        <v>54</v>
      </c>
      <c r="D56" s="22">
        <f>Main!C55</f>
        <v>65.901303456159482</v>
      </c>
      <c r="E56" s="22">
        <f>(Main!D55/2)+Main!U55</f>
        <v>3.15</v>
      </c>
      <c r="F56" s="22">
        <f>(Main!D55/2)+Main!U55</f>
        <v>3.15</v>
      </c>
      <c r="G56" s="22">
        <f>(Main!D55/2)+Main!U55</f>
        <v>3.15</v>
      </c>
      <c r="H56" s="22">
        <f>(Main!D55/2)+Main!U55</f>
        <v>3.15</v>
      </c>
      <c r="I56" s="22">
        <f>Main!D55</f>
        <v>2.2999999999999998</v>
      </c>
      <c r="J56" s="22">
        <f>Main!D55</f>
        <v>2.2999999999999998</v>
      </c>
      <c r="K56" s="22">
        <f>Main!C55</f>
        <v>65.901303456159482</v>
      </c>
      <c r="L56" s="22">
        <f>(Main!S55/2)-(Main!D55/2)</f>
        <v>23.85</v>
      </c>
      <c r="M56" s="22">
        <f>Main!C55</f>
        <v>65.901303456159482</v>
      </c>
      <c r="N56" s="22">
        <f>(Main!S55/2)-(Main!D55/2)</f>
        <v>23.85</v>
      </c>
      <c r="O56" s="22">
        <f>Main!C55</f>
        <v>65.901303456159482</v>
      </c>
      <c r="P56" s="22">
        <f>(Main!S55/2)-(Main!D55/2)</f>
        <v>23.85</v>
      </c>
      <c r="Q56" s="22">
        <f>Main!C55</f>
        <v>65.901303456159482</v>
      </c>
      <c r="R56" s="22">
        <f>(Main!S55/2)-(Main!D55/2)</f>
        <v>23.85</v>
      </c>
      <c r="S56" s="22">
        <f>Main!C55</f>
        <v>65.901303456159482</v>
      </c>
      <c r="T56" s="22">
        <f>Main!S55</f>
        <v>50</v>
      </c>
      <c r="U56" s="22">
        <f>Main!S55</f>
        <v>50</v>
      </c>
      <c r="V56" s="22">
        <f>Main!T55</f>
        <v>10</v>
      </c>
      <c r="W56" s="22">
        <f>Main!R55+(Main!U55*2)</f>
        <v>8.680833030174842</v>
      </c>
      <c r="X56" s="22">
        <f>Main!R55+(Main!U55*2)</f>
        <v>8.680833030174842</v>
      </c>
      <c r="Y56" s="22">
        <v>3</v>
      </c>
      <c r="Z56" s="22">
        <f>Main!D55</f>
        <v>2.2999999999999998</v>
      </c>
      <c r="AA56" s="22">
        <f>Main!D55</f>
        <v>2.2999999999999998</v>
      </c>
      <c r="AB56" s="22">
        <v>3</v>
      </c>
      <c r="AC56" s="22">
        <f>(Main!R55/2)-(Main!D55/2)</f>
        <v>1.1904165150874211</v>
      </c>
      <c r="AD56" s="22">
        <v>3</v>
      </c>
      <c r="AE56" s="22">
        <f>(Main!R55/2)-(Main!D55/2)</f>
        <v>1.1904165150874211</v>
      </c>
      <c r="AF56" s="22">
        <v>3</v>
      </c>
      <c r="AG56" s="22">
        <f>(Main!R55/2)-(Main!D55/2)</f>
        <v>1.1904165150874211</v>
      </c>
      <c r="AH56" s="22">
        <v>3</v>
      </c>
      <c r="AI56" s="22">
        <f>(Main!R55/2)-(Main!D55/2)</f>
        <v>1.1904165150874211</v>
      </c>
      <c r="AJ56" s="22">
        <v>3</v>
      </c>
    </row>
    <row r="57" spans="1:36" ht="15" customHeight="1" x14ac:dyDescent="0.45">
      <c r="A57" s="22">
        <v>54</v>
      </c>
      <c r="B57" s="22">
        <f>Main!S56+(2*Main!U56)</f>
        <v>54</v>
      </c>
      <c r="C57" s="22">
        <f>Main!S56+(2*Main!U56)</f>
        <v>54</v>
      </c>
      <c r="D57" s="22">
        <f>Main!C56</f>
        <v>69.456101956631855</v>
      </c>
      <c r="E57" s="22">
        <f>(Main!D56/2)+Main!U56</f>
        <v>3.15</v>
      </c>
      <c r="F57" s="22">
        <f>(Main!D56/2)+Main!U56</f>
        <v>3.15</v>
      </c>
      <c r="G57" s="22">
        <f>(Main!D56/2)+Main!U56</f>
        <v>3.15</v>
      </c>
      <c r="H57" s="22">
        <f>(Main!D56/2)+Main!U56</f>
        <v>3.15</v>
      </c>
      <c r="I57" s="22">
        <f>Main!D56</f>
        <v>2.2999999999999998</v>
      </c>
      <c r="J57" s="22">
        <f>Main!D56</f>
        <v>2.2999999999999998</v>
      </c>
      <c r="K57" s="22">
        <f>Main!C56</f>
        <v>69.456101956631855</v>
      </c>
      <c r="L57" s="22">
        <f>(Main!S56/2)-(Main!D56/2)</f>
        <v>23.85</v>
      </c>
      <c r="M57" s="22">
        <f>Main!C56</f>
        <v>69.456101956631855</v>
      </c>
      <c r="N57" s="22">
        <f>(Main!S56/2)-(Main!D56/2)</f>
        <v>23.85</v>
      </c>
      <c r="O57" s="22">
        <f>Main!C56</f>
        <v>69.456101956631855</v>
      </c>
      <c r="P57" s="22">
        <f>(Main!S56/2)-(Main!D56/2)</f>
        <v>23.85</v>
      </c>
      <c r="Q57" s="22">
        <f>Main!C56</f>
        <v>69.456101956631855</v>
      </c>
      <c r="R57" s="22">
        <f>(Main!S56/2)-(Main!D56/2)</f>
        <v>23.85</v>
      </c>
      <c r="S57" s="22">
        <f>Main!C56</f>
        <v>69.456101956631855</v>
      </c>
      <c r="T57" s="22">
        <f>Main!S56</f>
        <v>50</v>
      </c>
      <c r="U57" s="22">
        <f>Main!S56</f>
        <v>50</v>
      </c>
      <c r="V57" s="22">
        <f>Main!T56</f>
        <v>10</v>
      </c>
      <c r="W57" s="22">
        <f>Main!R56+(Main!U56*2)</f>
        <v>8.5589807890164611</v>
      </c>
      <c r="X57" s="22">
        <f>Main!R56+(Main!U56*2)</f>
        <v>8.5589807890164611</v>
      </c>
      <c r="Y57" s="22">
        <v>3</v>
      </c>
      <c r="Z57" s="22">
        <f>Main!D56</f>
        <v>2.2999999999999998</v>
      </c>
      <c r="AA57" s="22">
        <f>Main!D56</f>
        <v>2.2999999999999998</v>
      </c>
      <c r="AB57" s="22">
        <v>3</v>
      </c>
      <c r="AC57" s="22">
        <f>(Main!R56/2)-(Main!D56/2)</f>
        <v>1.1294903945082306</v>
      </c>
      <c r="AD57" s="22">
        <v>3</v>
      </c>
      <c r="AE57" s="22">
        <f>(Main!R56/2)-(Main!D56/2)</f>
        <v>1.1294903945082306</v>
      </c>
      <c r="AF57" s="22">
        <v>3</v>
      </c>
      <c r="AG57" s="22">
        <f>(Main!R56/2)-(Main!D56/2)</f>
        <v>1.1294903945082306</v>
      </c>
      <c r="AH57" s="22">
        <v>3</v>
      </c>
      <c r="AI57" s="22">
        <f>(Main!R56/2)-(Main!D56/2)</f>
        <v>1.1294903945082306</v>
      </c>
      <c r="AJ57" s="22">
        <v>3</v>
      </c>
    </row>
    <row r="58" spans="1:36" ht="15" customHeight="1" x14ac:dyDescent="0.45">
      <c r="A58" s="22">
        <v>55</v>
      </c>
      <c r="B58" s="22">
        <f>Main!S57+(2*Main!U57)</f>
        <v>54</v>
      </c>
      <c r="C58" s="22">
        <f>Main!S57+(2*Main!U57)</f>
        <v>54</v>
      </c>
      <c r="D58" s="22">
        <f>Main!C57</f>
        <v>71.947650441269602</v>
      </c>
      <c r="E58" s="22">
        <f>(Main!D57/2)+Main!U57</f>
        <v>3.15</v>
      </c>
      <c r="F58" s="22">
        <f>(Main!D57/2)+Main!U57</f>
        <v>3.15</v>
      </c>
      <c r="G58" s="22">
        <f>(Main!D57/2)+Main!U57</f>
        <v>3.15</v>
      </c>
      <c r="H58" s="22">
        <f>(Main!D57/2)+Main!U57</f>
        <v>3.15</v>
      </c>
      <c r="I58" s="22">
        <f>Main!D57</f>
        <v>2.2999999999999998</v>
      </c>
      <c r="J58" s="22">
        <f>Main!D57</f>
        <v>2.2999999999999998</v>
      </c>
      <c r="K58" s="22">
        <f>Main!C57</f>
        <v>71.947650441269602</v>
      </c>
      <c r="L58" s="22">
        <f>(Main!S57/2)-(Main!D57/2)</f>
        <v>23.85</v>
      </c>
      <c r="M58" s="22">
        <f>Main!C57</f>
        <v>71.947650441269602</v>
      </c>
      <c r="N58" s="22">
        <f>(Main!S57/2)-(Main!D57/2)</f>
        <v>23.85</v>
      </c>
      <c r="O58" s="22">
        <f>Main!C57</f>
        <v>71.947650441269602</v>
      </c>
      <c r="P58" s="22">
        <f>(Main!S57/2)-(Main!D57/2)</f>
        <v>23.85</v>
      </c>
      <c r="Q58" s="22">
        <f>Main!C57</f>
        <v>71.947650441269602</v>
      </c>
      <c r="R58" s="22">
        <f>(Main!S57/2)-(Main!D57/2)</f>
        <v>23.85</v>
      </c>
      <c r="S58" s="22">
        <f>Main!C57</f>
        <v>71.947650441269602</v>
      </c>
      <c r="T58" s="22">
        <f>Main!S57</f>
        <v>50</v>
      </c>
      <c r="U58" s="22">
        <f>Main!S57</f>
        <v>50</v>
      </c>
      <c r="V58" s="22">
        <f>Main!T57</f>
        <v>10</v>
      </c>
      <c r="W58" s="22">
        <f>Main!R57+(Main!U57*2)</f>
        <v>8.4807522419106149</v>
      </c>
      <c r="X58" s="22">
        <f>Main!R57+(Main!U57*2)</f>
        <v>8.4807522419106149</v>
      </c>
      <c r="Y58" s="22">
        <v>3</v>
      </c>
      <c r="Z58" s="22">
        <f>Main!D57</f>
        <v>2.2999999999999998</v>
      </c>
      <c r="AA58" s="22">
        <f>Main!D57</f>
        <v>2.2999999999999998</v>
      </c>
      <c r="AB58" s="22">
        <v>3</v>
      </c>
      <c r="AC58" s="22">
        <f>(Main!R57/2)-(Main!D57/2)</f>
        <v>1.090376120955308</v>
      </c>
      <c r="AD58" s="22">
        <v>3</v>
      </c>
      <c r="AE58" s="22">
        <f>(Main!R57/2)-(Main!D57/2)</f>
        <v>1.090376120955308</v>
      </c>
      <c r="AF58" s="22">
        <v>3</v>
      </c>
      <c r="AG58" s="22">
        <f>(Main!R57/2)-(Main!D57/2)</f>
        <v>1.090376120955308</v>
      </c>
      <c r="AH58" s="22">
        <v>3</v>
      </c>
      <c r="AI58" s="22">
        <f>(Main!R57/2)-(Main!D57/2)</f>
        <v>1.090376120955308</v>
      </c>
      <c r="AJ58" s="22">
        <v>3</v>
      </c>
    </row>
    <row r="59" spans="1:36" ht="15" customHeight="1" x14ac:dyDescent="0.45">
      <c r="A59" s="22">
        <v>56</v>
      </c>
      <c r="B59" s="22">
        <f>Main!S58+(2*Main!U58)</f>
        <v>54</v>
      </c>
      <c r="C59" s="22">
        <f>Main!S58+(2*Main!U58)</f>
        <v>54</v>
      </c>
      <c r="D59" s="22">
        <f>Main!C58</f>
        <v>73.440195299021383</v>
      </c>
      <c r="E59" s="22">
        <f>(Main!D58/2)+Main!U58</f>
        <v>3.15</v>
      </c>
      <c r="F59" s="22">
        <f>(Main!D58/2)+Main!U58</f>
        <v>3.15</v>
      </c>
      <c r="G59" s="22">
        <f>(Main!D58/2)+Main!U58</f>
        <v>3.15</v>
      </c>
      <c r="H59" s="22">
        <f>(Main!D58/2)+Main!U58</f>
        <v>3.15</v>
      </c>
      <c r="I59" s="22">
        <f>Main!D58</f>
        <v>2.2999999999999998</v>
      </c>
      <c r="J59" s="22">
        <f>Main!D58</f>
        <v>2.2999999999999998</v>
      </c>
      <c r="K59" s="22">
        <f>Main!C58</f>
        <v>73.440195299021383</v>
      </c>
      <c r="L59" s="22">
        <f>(Main!S58/2)-(Main!D58/2)</f>
        <v>23.85</v>
      </c>
      <c r="M59" s="22">
        <f>Main!C58</f>
        <v>73.440195299021383</v>
      </c>
      <c r="N59" s="22">
        <f>(Main!S58/2)-(Main!D58/2)</f>
        <v>23.85</v>
      </c>
      <c r="O59" s="22">
        <f>Main!C58</f>
        <v>73.440195299021383</v>
      </c>
      <c r="P59" s="22">
        <f>(Main!S58/2)-(Main!D58/2)</f>
        <v>23.85</v>
      </c>
      <c r="Q59" s="22">
        <f>Main!C58</f>
        <v>73.440195299021383</v>
      </c>
      <c r="R59" s="22">
        <f>(Main!S58/2)-(Main!D58/2)</f>
        <v>23.85</v>
      </c>
      <c r="S59" s="22">
        <f>Main!C58</f>
        <v>73.440195299021383</v>
      </c>
      <c r="T59" s="22">
        <f>Main!S58</f>
        <v>50</v>
      </c>
      <c r="U59" s="22">
        <f>Main!S58</f>
        <v>50</v>
      </c>
      <c r="V59" s="22">
        <f>Main!T58</f>
        <v>10</v>
      </c>
      <c r="W59" s="22">
        <f>Main!R58+(Main!U58*2)</f>
        <v>8.4364322270816565</v>
      </c>
      <c r="X59" s="22">
        <f>Main!R58+(Main!U58*2)</f>
        <v>8.4364322270816565</v>
      </c>
      <c r="Y59" s="22">
        <v>3</v>
      </c>
      <c r="Z59" s="22">
        <f>Main!D58</f>
        <v>2.2999999999999998</v>
      </c>
      <c r="AA59" s="22">
        <f>Main!D58</f>
        <v>2.2999999999999998</v>
      </c>
      <c r="AB59" s="22">
        <v>3</v>
      </c>
      <c r="AC59" s="22">
        <f>(Main!R58/2)-(Main!D58/2)</f>
        <v>1.0682161135408279</v>
      </c>
      <c r="AD59" s="22">
        <v>3</v>
      </c>
      <c r="AE59" s="22">
        <f>(Main!R58/2)-(Main!D58/2)</f>
        <v>1.0682161135408279</v>
      </c>
      <c r="AF59" s="22">
        <v>3</v>
      </c>
      <c r="AG59" s="22">
        <f>(Main!R58/2)-(Main!D58/2)</f>
        <v>1.0682161135408279</v>
      </c>
      <c r="AH59" s="22">
        <v>3</v>
      </c>
      <c r="AI59" s="22">
        <f>(Main!R58/2)-(Main!D58/2)</f>
        <v>1.0682161135408279</v>
      </c>
      <c r="AJ59" s="22">
        <v>3</v>
      </c>
    </row>
    <row r="60" spans="1:36" ht="15" customHeight="1" x14ac:dyDescent="0.45">
      <c r="A60" s="22">
        <v>57</v>
      </c>
      <c r="B60" s="22">
        <f>Main!S59+(2*Main!U59)</f>
        <v>54</v>
      </c>
      <c r="C60" s="22">
        <f>Main!S59+(2*Main!U59)</f>
        <v>54</v>
      </c>
      <c r="D60" s="22">
        <f>Main!C59</f>
        <v>74.23489395049215</v>
      </c>
      <c r="E60" s="22">
        <f>(Main!D59/2)+Main!U59</f>
        <v>3.15</v>
      </c>
      <c r="F60" s="22">
        <f>(Main!D59/2)+Main!U59</f>
        <v>3.15</v>
      </c>
      <c r="G60" s="22">
        <f>(Main!D59/2)+Main!U59</f>
        <v>3.15</v>
      </c>
      <c r="H60" s="22">
        <f>(Main!D59/2)+Main!U59</f>
        <v>3.15</v>
      </c>
      <c r="I60" s="22">
        <f>Main!D59</f>
        <v>2.2999999999999998</v>
      </c>
      <c r="J60" s="22">
        <f>Main!D59</f>
        <v>2.2999999999999998</v>
      </c>
      <c r="K60" s="22">
        <f>Main!C59</f>
        <v>74.23489395049215</v>
      </c>
      <c r="L60" s="22">
        <f>(Main!S59/2)-(Main!D59/2)</f>
        <v>23.85</v>
      </c>
      <c r="M60" s="22">
        <f>Main!C59</f>
        <v>74.23489395049215</v>
      </c>
      <c r="N60" s="22">
        <f>(Main!S59/2)-(Main!D59/2)</f>
        <v>23.85</v>
      </c>
      <c r="O60" s="22">
        <f>Main!C59</f>
        <v>74.23489395049215</v>
      </c>
      <c r="P60" s="22">
        <f>(Main!S59/2)-(Main!D59/2)</f>
        <v>23.85</v>
      </c>
      <c r="Q60" s="22">
        <f>Main!C59</f>
        <v>74.23489395049215</v>
      </c>
      <c r="R60" s="22">
        <f>(Main!S59/2)-(Main!D59/2)</f>
        <v>23.85</v>
      </c>
      <c r="S60" s="22">
        <f>Main!C59</f>
        <v>74.23489395049215</v>
      </c>
      <c r="T60" s="22">
        <f>Main!S59</f>
        <v>50</v>
      </c>
      <c r="U60" s="22">
        <f>Main!S59</f>
        <v>50</v>
      </c>
      <c r="V60" s="22">
        <f>Main!T59</f>
        <v>10</v>
      </c>
      <c r="W60" s="22">
        <f>Main!R59+(Main!U59*2)</f>
        <v>8.413561313964264</v>
      </c>
      <c r="X60" s="22">
        <f>Main!R59+(Main!U59*2)</f>
        <v>8.413561313964264</v>
      </c>
      <c r="Y60" s="22">
        <v>3</v>
      </c>
      <c r="Z60" s="22">
        <f>Main!D59</f>
        <v>2.2999999999999998</v>
      </c>
      <c r="AA60" s="22">
        <f>Main!D59</f>
        <v>2.2999999999999998</v>
      </c>
      <c r="AB60" s="22">
        <v>3</v>
      </c>
      <c r="AC60" s="22">
        <f>(Main!R59/2)-(Main!D59/2)</f>
        <v>1.0567806569821321</v>
      </c>
      <c r="AD60" s="22">
        <v>3</v>
      </c>
      <c r="AE60" s="22">
        <f>(Main!R59/2)-(Main!D59/2)</f>
        <v>1.0567806569821321</v>
      </c>
      <c r="AF60" s="22">
        <v>3</v>
      </c>
      <c r="AG60" s="22">
        <f>(Main!R59/2)-(Main!D59/2)</f>
        <v>1.0567806569821321</v>
      </c>
      <c r="AH60" s="22">
        <v>3</v>
      </c>
      <c r="AI60" s="22">
        <f>(Main!R59/2)-(Main!D59/2)</f>
        <v>1.0567806569821321</v>
      </c>
      <c r="AJ60" s="22">
        <v>3</v>
      </c>
    </row>
    <row r="61" spans="1:36" ht="15" customHeight="1" x14ac:dyDescent="0.45">
      <c r="A61" s="22">
        <v>58</v>
      </c>
      <c r="B61" s="22">
        <f>Main!S60+(2*Main!U60)</f>
        <v>54</v>
      </c>
      <c r="C61" s="22">
        <f>Main!S60+(2*Main!U60)</f>
        <v>54</v>
      </c>
      <c r="D61" s="22">
        <f>Main!C60</f>
        <v>74.730216836283262</v>
      </c>
      <c r="E61" s="22">
        <f>(Main!D60/2)+Main!U60</f>
        <v>3.15</v>
      </c>
      <c r="F61" s="22">
        <f>(Main!D60/2)+Main!U60</f>
        <v>3.15</v>
      </c>
      <c r="G61" s="22">
        <f>(Main!D60/2)+Main!U60</f>
        <v>3.15</v>
      </c>
      <c r="H61" s="22">
        <f>(Main!D60/2)+Main!U60</f>
        <v>3.15</v>
      </c>
      <c r="I61" s="22">
        <f>Main!D60</f>
        <v>2.2999999999999998</v>
      </c>
      <c r="J61" s="22">
        <f>Main!D60</f>
        <v>2.2999999999999998</v>
      </c>
      <c r="K61" s="22">
        <f>Main!C60</f>
        <v>74.730216836283262</v>
      </c>
      <c r="L61" s="22">
        <f>(Main!S60/2)-(Main!D60/2)</f>
        <v>23.85</v>
      </c>
      <c r="M61" s="22">
        <f>Main!C60</f>
        <v>74.730216836283262</v>
      </c>
      <c r="N61" s="22">
        <f>(Main!S60/2)-(Main!D60/2)</f>
        <v>23.85</v>
      </c>
      <c r="O61" s="22">
        <f>Main!C60</f>
        <v>74.730216836283262</v>
      </c>
      <c r="P61" s="22">
        <f>(Main!S60/2)-(Main!D60/2)</f>
        <v>23.85</v>
      </c>
      <c r="Q61" s="22">
        <f>Main!C60</f>
        <v>74.730216836283262</v>
      </c>
      <c r="R61" s="22">
        <f>(Main!S60/2)-(Main!D60/2)</f>
        <v>23.85</v>
      </c>
      <c r="S61" s="22">
        <f>Main!C60</f>
        <v>74.730216836283262</v>
      </c>
      <c r="T61" s="22">
        <f>Main!S60</f>
        <v>50</v>
      </c>
      <c r="U61" s="22">
        <f>Main!S60</f>
        <v>50</v>
      </c>
      <c r="V61" s="22">
        <f>Main!T60</f>
        <v>10</v>
      </c>
      <c r="W61" s="22">
        <f>Main!R60+(Main!U60*2)</f>
        <v>8.3995523182239893</v>
      </c>
      <c r="X61" s="22">
        <f>Main!R60+(Main!U60*2)</f>
        <v>8.3995523182239893</v>
      </c>
      <c r="Y61" s="22">
        <v>3</v>
      </c>
      <c r="Z61" s="22">
        <f>Main!D60</f>
        <v>2.2999999999999998</v>
      </c>
      <c r="AA61" s="22">
        <f>Main!D60</f>
        <v>2.2999999999999998</v>
      </c>
      <c r="AB61" s="22">
        <v>3</v>
      </c>
      <c r="AC61" s="22">
        <f>(Main!R60/2)-(Main!D60/2)</f>
        <v>1.0497761591119952</v>
      </c>
      <c r="AD61" s="22">
        <v>3</v>
      </c>
      <c r="AE61" s="22">
        <f>(Main!R60/2)-(Main!D60/2)</f>
        <v>1.0497761591119952</v>
      </c>
      <c r="AF61" s="22">
        <v>3</v>
      </c>
      <c r="AG61" s="22">
        <f>(Main!R60/2)-(Main!D60/2)</f>
        <v>1.0497761591119952</v>
      </c>
      <c r="AH61" s="22">
        <v>3</v>
      </c>
      <c r="AI61" s="22">
        <f>(Main!R60/2)-(Main!D60/2)</f>
        <v>1.0497761591119952</v>
      </c>
      <c r="AJ61" s="22">
        <v>3</v>
      </c>
    </row>
    <row r="62" spans="1:36" ht="15" customHeight="1" x14ac:dyDescent="0.45">
      <c r="A62" s="22">
        <v>59</v>
      </c>
      <c r="B62" s="22">
        <f>Main!S61+(2*Main!U61)</f>
        <v>54</v>
      </c>
      <c r="C62" s="22">
        <f>Main!S61+(2*Main!U61)</f>
        <v>54</v>
      </c>
      <c r="D62" s="22">
        <f>Main!C61</f>
        <v>75.301270838583804</v>
      </c>
      <c r="E62" s="22">
        <f>(Main!D61/2)+Main!U61</f>
        <v>3.15</v>
      </c>
      <c r="F62" s="22">
        <f>(Main!D61/2)+Main!U61</f>
        <v>3.15</v>
      </c>
      <c r="G62" s="22">
        <f>(Main!D61/2)+Main!U61</f>
        <v>3.15</v>
      </c>
      <c r="H62" s="22">
        <f>(Main!D61/2)+Main!U61</f>
        <v>3.15</v>
      </c>
      <c r="I62" s="22">
        <f>Main!D61</f>
        <v>2.2999999999999998</v>
      </c>
      <c r="J62" s="22">
        <f>Main!D61</f>
        <v>2.2999999999999998</v>
      </c>
      <c r="K62" s="22">
        <f>Main!C61</f>
        <v>75.301270838583804</v>
      </c>
      <c r="L62" s="22">
        <f>(Main!S61/2)-(Main!D61/2)</f>
        <v>23.85</v>
      </c>
      <c r="M62" s="22">
        <f>Main!C61</f>
        <v>75.301270838583804</v>
      </c>
      <c r="N62" s="22">
        <f>(Main!S61/2)-(Main!D61/2)</f>
        <v>23.85</v>
      </c>
      <c r="O62" s="22">
        <f>Main!C61</f>
        <v>75.301270838583804</v>
      </c>
      <c r="P62" s="22">
        <f>(Main!S61/2)-(Main!D61/2)</f>
        <v>23.85</v>
      </c>
      <c r="Q62" s="22">
        <f>Main!C61</f>
        <v>75.301270838583804</v>
      </c>
      <c r="R62" s="22">
        <f>(Main!S61/2)-(Main!D61/2)</f>
        <v>23.85</v>
      </c>
      <c r="S62" s="22">
        <f>Main!C61</f>
        <v>75.301270838583804</v>
      </c>
      <c r="T62" s="22">
        <f>Main!S61</f>
        <v>50</v>
      </c>
      <c r="U62" s="22">
        <f>Main!S61</f>
        <v>50</v>
      </c>
      <c r="V62" s="22">
        <f>Main!T61</f>
        <v>10</v>
      </c>
      <c r="W62" s="22">
        <f>Main!R61+(Main!U61*2)</f>
        <v>8.3836301732055976</v>
      </c>
      <c r="X62" s="22">
        <f>Main!R61+(Main!U61*2)</f>
        <v>8.3836301732055976</v>
      </c>
      <c r="Y62" s="22">
        <v>3</v>
      </c>
      <c r="Z62" s="22">
        <f>Main!D61</f>
        <v>2.2999999999999998</v>
      </c>
      <c r="AA62" s="22">
        <f>Main!D61</f>
        <v>2.2999999999999998</v>
      </c>
      <c r="AB62" s="22">
        <v>3</v>
      </c>
      <c r="AC62" s="22">
        <f>(Main!R61/2)-(Main!D61/2)</f>
        <v>1.0418150866027989</v>
      </c>
      <c r="AD62" s="22">
        <v>3</v>
      </c>
      <c r="AE62" s="22">
        <f>(Main!R61/2)-(Main!D61/2)</f>
        <v>1.0418150866027989</v>
      </c>
      <c r="AF62" s="22">
        <v>3</v>
      </c>
      <c r="AG62" s="22">
        <f>(Main!R61/2)-(Main!D61/2)</f>
        <v>1.0418150866027989</v>
      </c>
      <c r="AH62" s="22">
        <v>3</v>
      </c>
      <c r="AI62" s="22">
        <f>(Main!R61/2)-(Main!D61/2)</f>
        <v>1.0418150866027989</v>
      </c>
      <c r="AJ62" s="22">
        <v>3</v>
      </c>
    </row>
    <row r="63" spans="1:36" ht="15" customHeight="1" x14ac:dyDescent="0.45">
      <c r="A63" s="22">
        <v>60</v>
      </c>
      <c r="B63" s="22">
        <f>Main!S62+(2*Main!U62)</f>
        <v>54</v>
      </c>
      <c r="C63" s="22">
        <f>Main!S62+(2*Main!U62)</f>
        <v>54</v>
      </c>
      <c r="D63" s="22">
        <f>Main!C62</f>
        <v>76.22926480315779</v>
      </c>
      <c r="E63" s="22">
        <f>(Main!D62/2)+Main!U62</f>
        <v>3.15</v>
      </c>
      <c r="F63" s="22">
        <f>(Main!D62/2)+Main!U62</f>
        <v>3.15</v>
      </c>
      <c r="G63" s="22">
        <f>(Main!D62/2)+Main!U62</f>
        <v>3.15</v>
      </c>
      <c r="H63" s="22">
        <f>(Main!D62/2)+Main!U62</f>
        <v>3.15</v>
      </c>
      <c r="I63" s="22">
        <f>Main!D62</f>
        <v>2.2999999999999998</v>
      </c>
      <c r="J63" s="22">
        <f>Main!D62</f>
        <v>2.2999999999999998</v>
      </c>
      <c r="K63" s="22">
        <f>Main!C62</f>
        <v>76.22926480315779</v>
      </c>
      <c r="L63" s="22">
        <f>(Main!S62/2)-(Main!D62/2)</f>
        <v>23.85</v>
      </c>
      <c r="M63" s="22">
        <f>Main!C62</f>
        <v>76.22926480315779</v>
      </c>
      <c r="N63" s="22">
        <f>(Main!S62/2)-(Main!D62/2)</f>
        <v>23.85</v>
      </c>
      <c r="O63" s="22">
        <f>Main!C62</f>
        <v>76.22926480315779</v>
      </c>
      <c r="P63" s="22">
        <f>(Main!S62/2)-(Main!D62/2)</f>
        <v>23.85</v>
      </c>
      <c r="Q63" s="22">
        <f>Main!C62</f>
        <v>76.22926480315779</v>
      </c>
      <c r="R63" s="22">
        <f>(Main!S62/2)-(Main!D62/2)</f>
        <v>23.85</v>
      </c>
      <c r="S63" s="22">
        <f>Main!C62</f>
        <v>76.22926480315779</v>
      </c>
      <c r="T63" s="22">
        <f>Main!S62</f>
        <v>50</v>
      </c>
      <c r="U63" s="22">
        <f>Main!S62</f>
        <v>50</v>
      </c>
      <c r="V63" s="22">
        <f>Main!T62</f>
        <v>10</v>
      </c>
      <c r="W63" s="22">
        <f>Main!R62+(Main!U62*2)</f>
        <v>8.3582646363591913</v>
      </c>
      <c r="X63" s="22">
        <f>Main!R62+(Main!U62*2)</f>
        <v>8.3582646363591913</v>
      </c>
      <c r="Y63" s="22">
        <v>3</v>
      </c>
      <c r="Z63" s="22">
        <f>Main!D62</f>
        <v>2.2999999999999998</v>
      </c>
      <c r="AA63" s="22">
        <f>Main!D62</f>
        <v>2.2999999999999998</v>
      </c>
      <c r="AB63" s="22">
        <v>3</v>
      </c>
      <c r="AC63" s="22">
        <f>(Main!R62/2)-(Main!D62/2)</f>
        <v>1.0291323181795953</v>
      </c>
      <c r="AD63" s="22">
        <v>3</v>
      </c>
      <c r="AE63" s="22">
        <f>(Main!R62/2)-(Main!D62/2)</f>
        <v>1.0291323181795953</v>
      </c>
      <c r="AF63" s="22">
        <v>3</v>
      </c>
      <c r="AG63" s="22">
        <f>(Main!R62/2)-(Main!D62/2)</f>
        <v>1.0291323181795953</v>
      </c>
      <c r="AH63" s="22">
        <v>3</v>
      </c>
      <c r="AI63" s="22">
        <f>(Main!R62/2)-(Main!D62/2)</f>
        <v>1.0291323181795953</v>
      </c>
      <c r="AJ63" s="22">
        <v>3</v>
      </c>
    </row>
    <row r="64" spans="1:36" ht="15" customHeight="1" x14ac:dyDescent="0.45">
      <c r="A64" s="22">
        <v>61</v>
      </c>
      <c r="B64" s="22">
        <f>Main!S63+(2*Main!U63)</f>
        <v>54</v>
      </c>
      <c r="C64" s="22">
        <f>Main!S63+(2*Main!U63)</f>
        <v>54</v>
      </c>
      <c r="D64" s="22">
        <f>Main!C63</f>
        <v>89.070206162964965</v>
      </c>
      <c r="E64" s="22">
        <f>(Main!D63/2)+Main!U63</f>
        <v>3.15</v>
      </c>
      <c r="F64" s="22">
        <f>(Main!D63/2)+Main!U63</f>
        <v>3.15</v>
      </c>
      <c r="G64" s="22">
        <f>(Main!D63/2)+Main!U63</f>
        <v>3.15</v>
      </c>
      <c r="H64" s="22">
        <f>(Main!D63/2)+Main!U63</f>
        <v>3.15</v>
      </c>
      <c r="I64" s="22">
        <f>Main!D63</f>
        <v>2.2999999999999998</v>
      </c>
      <c r="J64" s="22">
        <f>Main!D63</f>
        <v>2.2999999999999998</v>
      </c>
      <c r="K64" s="22">
        <f>Main!C63</f>
        <v>89.070206162964965</v>
      </c>
      <c r="L64" s="22">
        <f>(Main!S63/2)-(Main!D63/2)</f>
        <v>23.85</v>
      </c>
      <c r="M64" s="22">
        <f>Main!C63</f>
        <v>89.070206162964965</v>
      </c>
      <c r="N64" s="22">
        <f>(Main!S63/2)-(Main!D63/2)</f>
        <v>23.85</v>
      </c>
      <c r="O64" s="22">
        <f>Main!C63</f>
        <v>89.070206162964965</v>
      </c>
      <c r="P64" s="22">
        <f>(Main!S63/2)-(Main!D63/2)</f>
        <v>23.85</v>
      </c>
      <c r="Q64" s="22">
        <f>Main!C63</f>
        <v>89.070206162964965</v>
      </c>
      <c r="R64" s="22">
        <f>(Main!S63/2)-(Main!D63/2)</f>
        <v>23.85</v>
      </c>
      <c r="S64" s="22">
        <f>Main!C63</f>
        <v>89.070206162964965</v>
      </c>
      <c r="T64" s="22">
        <f>Main!S63</f>
        <v>50</v>
      </c>
      <c r="U64" s="22">
        <f>Main!S63</f>
        <v>50</v>
      </c>
      <c r="V64" s="22">
        <f>Main!T63</f>
        <v>10</v>
      </c>
      <c r="W64" s="22">
        <f>Main!R63+(Main!U63*2)</f>
        <v>8.0615317933915183</v>
      </c>
      <c r="X64" s="22">
        <f>Main!R63+(Main!U63*2)</f>
        <v>8.0615317933915183</v>
      </c>
      <c r="Y64" s="22">
        <v>3</v>
      </c>
      <c r="Z64" s="22">
        <f>Main!D63</f>
        <v>2.2999999999999998</v>
      </c>
      <c r="AA64" s="22">
        <f>Main!D63</f>
        <v>2.2999999999999998</v>
      </c>
      <c r="AB64" s="22">
        <v>3</v>
      </c>
      <c r="AC64" s="22">
        <f>(Main!R63/2)-(Main!D63/2)</f>
        <v>0.88076589669575922</v>
      </c>
      <c r="AD64" s="22">
        <v>3</v>
      </c>
      <c r="AE64" s="22">
        <f>(Main!R63/2)-(Main!D63/2)</f>
        <v>0.88076589669575922</v>
      </c>
      <c r="AF64" s="22">
        <v>3</v>
      </c>
      <c r="AG64" s="22">
        <f>(Main!R63/2)-(Main!D63/2)</f>
        <v>0.88076589669575922</v>
      </c>
      <c r="AH64" s="22">
        <v>3</v>
      </c>
      <c r="AI64" s="22">
        <f>(Main!R63/2)-(Main!D63/2)</f>
        <v>0.88076589669575922</v>
      </c>
      <c r="AJ64" s="22">
        <v>3</v>
      </c>
    </row>
    <row r="65" spans="1:36" ht="15" customHeight="1" x14ac:dyDescent="0.45">
      <c r="A65" s="22">
        <v>62</v>
      </c>
      <c r="B65" s="22">
        <f>Main!S64+(2*Main!U64)</f>
        <v>54</v>
      </c>
      <c r="C65" s="22">
        <f>Main!S64+(2*Main!U64)</f>
        <v>54</v>
      </c>
      <c r="D65" s="22">
        <f>Main!C64</f>
        <v>82.700811490358959</v>
      </c>
      <c r="E65" s="22">
        <f>(Main!D64/2)+Main!U64</f>
        <v>3.15</v>
      </c>
      <c r="F65" s="22">
        <f>(Main!D64/2)+Main!U64</f>
        <v>3.15</v>
      </c>
      <c r="G65" s="22">
        <f>(Main!D64/2)+Main!U64</f>
        <v>3.15</v>
      </c>
      <c r="H65" s="22">
        <f>(Main!D64/2)+Main!U64</f>
        <v>3.15</v>
      </c>
      <c r="I65" s="22">
        <f>Main!D64</f>
        <v>2.2999999999999998</v>
      </c>
      <c r="J65" s="22">
        <f>Main!D64</f>
        <v>2.2999999999999998</v>
      </c>
      <c r="K65" s="22">
        <f>Main!C64</f>
        <v>82.700811490358959</v>
      </c>
      <c r="L65" s="22">
        <f>(Main!S64/2)-(Main!D64/2)</f>
        <v>23.85</v>
      </c>
      <c r="M65" s="22">
        <f>Main!C64</f>
        <v>82.700811490358959</v>
      </c>
      <c r="N65" s="22">
        <f>(Main!S64/2)-(Main!D64/2)</f>
        <v>23.85</v>
      </c>
      <c r="O65" s="22">
        <f>Main!C64</f>
        <v>82.700811490358959</v>
      </c>
      <c r="P65" s="22">
        <f>(Main!S64/2)-(Main!D64/2)</f>
        <v>23.85</v>
      </c>
      <c r="Q65" s="22">
        <f>Main!C64</f>
        <v>82.700811490358959</v>
      </c>
      <c r="R65" s="22">
        <f>(Main!S64/2)-(Main!D64/2)</f>
        <v>23.85</v>
      </c>
      <c r="S65" s="22">
        <f>Main!C64</f>
        <v>82.700811490358959</v>
      </c>
      <c r="T65" s="22">
        <f>Main!S64</f>
        <v>50</v>
      </c>
      <c r="U65" s="22">
        <f>Main!S64</f>
        <v>50</v>
      </c>
      <c r="V65" s="22">
        <f>Main!T64</f>
        <v>10</v>
      </c>
      <c r="W65" s="22">
        <f>Main!R64+(Main!U64*2)</f>
        <v>8.1972002471619163</v>
      </c>
      <c r="X65" s="22">
        <f>Main!R64+(Main!U64*2)</f>
        <v>8.1972002471619163</v>
      </c>
      <c r="Y65" s="22">
        <v>3</v>
      </c>
      <c r="Z65" s="22">
        <f>Main!D64</f>
        <v>2.2999999999999998</v>
      </c>
      <c r="AA65" s="22">
        <f>Main!D64</f>
        <v>2.2999999999999998</v>
      </c>
      <c r="AB65" s="22">
        <v>3</v>
      </c>
      <c r="AC65" s="22">
        <f>(Main!R64/2)-(Main!D64/2)</f>
        <v>0.9486001235809578</v>
      </c>
      <c r="AD65" s="22">
        <v>3</v>
      </c>
      <c r="AE65" s="22">
        <f>(Main!R64/2)-(Main!D64/2)</f>
        <v>0.9486001235809578</v>
      </c>
      <c r="AF65" s="22">
        <v>3</v>
      </c>
      <c r="AG65" s="22">
        <f>(Main!R64/2)-(Main!D64/2)</f>
        <v>0.9486001235809578</v>
      </c>
      <c r="AH65" s="22">
        <v>3</v>
      </c>
      <c r="AI65" s="22">
        <f>(Main!R64/2)-(Main!D64/2)</f>
        <v>0.9486001235809578</v>
      </c>
      <c r="AJ65" s="22">
        <v>3</v>
      </c>
    </row>
    <row r="66" spans="1:36" ht="15" customHeight="1" x14ac:dyDescent="0.45">
      <c r="A66" s="22">
        <v>63</v>
      </c>
      <c r="B66" s="22">
        <f>Main!S65+(2*Main!U65)</f>
        <v>54</v>
      </c>
      <c r="C66" s="22">
        <f>Main!S65+(2*Main!U65)</f>
        <v>54</v>
      </c>
      <c r="D66" s="22">
        <f>Main!C65</f>
        <v>75.776075670588156</v>
      </c>
      <c r="E66" s="22">
        <f>(Main!D65/2)+Main!U65</f>
        <v>3.15</v>
      </c>
      <c r="F66" s="22">
        <f>(Main!D65/2)+Main!U65</f>
        <v>3.15</v>
      </c>
      <c r="G66" s="22">
        <f>(Main!D65/2)+Main!U65</f>
        <v>3.15</v>
      </c>
      <c r="H66" s="22">
        <f>(Main!D65/2)+Main!U65</f>
        <v>3.15</v>
      </c>
      <c r="I66" s="22">
        <f>Main!D65</f>
        <v>2.2999999999999998</v>
      </c>
      <c r="J66" s="22">
        <f>Main!D65</f>
        <v>2.2999999999999998</v>
      </c>
      <c r="K66" s="22">
        <f>Main!C65</f>
        <v>75.776075670588156</v>
      </c>
      <c r="L66" s="22">
        <f>(Main!S65/2)-(Main!D65/2)</f>
        <v>23.85</v>
      </c>
      <c r="M66" s="22">
        <f>Main!C65</f>
        <v>75.776075670588156</v>
      </c>
      <c r="N66" s="22">
        <f>(Main!S65/2)-(Main!D65/2)</f>
        <v>23.85</v>
      </c>
      <c r="O66" s="22">
        <f>Main!C65</f>
        <v>75.776075670588156</v>
      </c>
      <c r="P66" s="22">
        <f>(Main!S65/2)-(Main!D65/2)</f>
        <v>23.85</v>
      </c>
      <c r="Q66" s="22">
        <f>Main!C65</f>
        <v>75.776075670588156</v>
      </c>
      <c r="R66" s="22">
        <f>(Main!S65/2)-(Main!D65/2)</f>
        <v>23.85</v>
      </c>
      <c r="S66" s="22">
        <f>Main!C65</f>
        <v>75.776075670588156</v>
      </c>
      <c r="T66" s="22">
        <f>Main!S65</f>
        <v>50</v>
      </c>
      <c r="U66" s="22">
        <f>Main!S65</f>
        <v>50</v>
      </c>
      <c r="V66" s="22">
        <f>Main!T65</f>
        <v>10</v>
      </c>
      <c r="W66" s="22">
        <f>Main!R65+(Main!U65*2)</f>
        <v>8.3705743681168148</v>
      </c>
      <c r="X66" s="22">
        <f>Main!R65+(Main!U65*2)</f>
        <v>8.3705743681168148</v>
      </c>
      <c r="Y66" s="22">
        <v>3</v>
      </c>
      <c r="Z66" s="22">
        <f>Main!D65</f>
        <v>2.2999999999999998</v>
      </c>
      <c r="AA66" s="22">
        <f>Main!D65</f>
        <v>2.2999999999999998</v>
      </c>
      <c r="AB66" s="22">
        <v>3</v>
      </c>
      <c r="AC66" s="22">
        <f>(Main!R65/2)-(Main!D65/2)</f>
        <v>1.0352871840584075</v>
      </c>
      <c r="AD66" s="22">
        <v>3</v>
      </c>
      <c r="AE66" s="22">
        <f>(Main!R65/2)-(Main!D65/2)</f>
        <v>1.0352871840584075</v>
      </c>
      <c r="AF66" s="22">
        <v>3</v>
      </c>
      <c r="AG66" s="22">
        <f>(Main!R65/2)-(Main!D65/2)</f>
        <v>1.0352871840584075</v>
      </c>
      <c r="AH66" s="22">
        <v>3</v>
      </c>
      <c r="AI66" s="22">
        <f>(Main!R65/2)-(Main!D65/2)</f>
        <v>1.0352871840584075</v>
      </c>
      <c r="AJ66" s="22">
        <v>3</v>
      </c>
    </row>
    <row r="67" spans="1:36" ht="15" customHeight="1" x14ac:dyDescent="0.45">
      <c r="A67" s="22">
        <v>64</v>
      </c>
      <c r="B67" s="22">
        <f>Main!S66+(2*Main!U66)</f>
        <v>54</v>
      </c>
      <c r="C67" s="22">
        <f>Main!S66+(2*Main!U66)</f>
        <v>54</v>
      </c>
      <c r="D67" s="22">
        <f>Main!C66</f>
        <v>68.942582316349998</v>
      </c>
      <c r="E67" s="22">
        <f>(Main!D66/2)+Main!U66</f>
        <v>3.15</v>
      </c>
      <c r="F67" s="22">
        <f>(Main!D66/2)+Main!U66</f>
        <v>3.15</v>
      </c>
      <c r="G67" s="22">
        <f>(Main!D66/2)+Main!U66</f>
        <v>3.15</v>
      </c>
      <c r="H67" s="22">
        <f>(Main!D66/2)+Main!U66</f>
        <v>3.15</v>
      </c>
      <c r="I67" s="22">
        <f>Main!D66</f>
        <v>2.2999999999999998</v>
      </c>
      <c r="J67" s="22">
        <f>Main!D66</f>
        <v>2.2999999999999998</v>
      </c>
      <c r="K67" s="22">
        <f>Main!C66</f>
        <v>68.942582316349998</v>
      </c>
      <c r="L67" s="22">
        <f>(Main!S66/2)-(Main!D66/2)</f>
        <v>23.85</v>
      </c>
      <c r="M67" s="22">
        <f>Main!C66</f>
        <v>68.942582316349998</v>
      </c>
      <c r="N67" s="22">
        <f>(Main!S66/2)-(Main!D66/2)</f>
        <v>23.85</v>
      </c>
      <c r="O67" s="22">
        <f>Main!C66</f>
        <v>68.942582316349998</v>
      </c>
      <c r="P67" s="22">
        <f>(Main!S66/2)-(Main!D66/2)</f>
        <v>23.85</v>
      </c>
      <c r="Q67" s="22">
        <f>Main!C66</f>
        <v>68.942582316349998</v>
      </c>
      <c r="R67" s="22">
        <f>(Main!S66/2)-(Main!D66/2)</f>
        <v>23.85</v>
      </c>
      <c r="S67" s="22">
        <f>Main!C66</f>
        <v>68.942582316349998</v>
      </c>
      <c r="T67" s="22">
        <f>Main!S66</f>
        <v>50</v>
      </c>
      <c r="U67" s="22">
        <f>Main!S66</f>
        <v>50</v>
      </c>
      <c r="V67" s="22">
        <f>Main!T66</f>
        <v>10</v>
      </c>
      <c r="W67" s="22">
        <f>Main!R66+(Main!U66*2)</f>
        <v>8.5758068341572766</v>
      </c>
      <c r="X67" s="22">
        <f>Main!R66+(Main!U66*2)</f>
        <v>8.5758068341572766</v>
      </c>
      <c r="Y67" s="22">
        <v>3</v>
      </c>
      <c r="Z67" s="22">
        <f>Main!D66</f>
        <v>2.2999999999999998</v>
      </c>
      <c r="AA67" s="22">
        <f>Main!D66</f>
        <v>2.2999999999999998</v>
      </c>
      <c r="AB67" s="22">
        <v>3</v>
      </c>
      <c r="AC67" s="22">
        <f>(Main!R66/2)-(Main!D66/2)</f>
        <v>1.1379034170786388</v>
      </c>
      <c r="AD67" s="22">
        <v>3</v>
      </c>
      <c r="AE67" s="22">
        <f>(Main!R66/2)-(Main!D66/2)</f>
        <v>1.1379034170786388</v>
      </c>
      <c r="AF67" s="22">
        <v>3</v>
      </c>
      <c r="AG67" s="22">
        <f>(Main!R66/2)-(Main!D66/2)</f>
        <v>1.1379034170786388</v>
      </c>
      <c r="AH67" s="22">
        <v>3</v>
      </c>
      <c r="AI67" s="22">
        <f>(Main!R66/2)-(Main!D66/2)</f>
        <v>1.1379034170786388</v>
      </c>
      <c r="AJ67" s="22">
        <v>3</v>
      </c>
    </row>
    <row r="68" spans="1:36" ht="15" customHeight="1" x14ac:dyDescent="0.45">
      <c r="A68" s="22">
        <v>65</v>
      </c>
      <c r="B68" s="22">
        <f>Main!S67+(2*Main!U67)</f>
        <v>54</v>
      </c>
      <c r="C68" s="22">
        <f>Main!S67+(2*Main!U67)</f>
        <v>54</v>
      </c>
      <c r="D68" s="22">
        <f>Main!C67</f>
        <v>62.832246190843783</v>
      </c>
      <c r="E68" s="22">
        <f>(Main!D67/2)+Main!U67</f>
        <v>3.15</v>
      </c>
      <c r="F68" s="22">
        <f>(Main!D67/2)+Main!U67</f>
        <v>3.15</v>
      </c>
      <c r="G68" s="22">
        <f>(Main!D67/2)+Main!U67</f>
        <v>3.15</v>
      </c>
      <c r="H68" s="22">
        <f>(Main!D67/2)+Main!U67</f>
        <v>3.15</v>
      </c>
      <c r="I68" s="22">
        <f>Main!D67</f>
        <v>2.2999999999999998</v>
      </c>
      <c r="J68" s="22">
        <f>Main!D67</f>
        <v>2.2999999999999998</v>
      </c>
      <c r="K68" s="22">
        <f>Main!C67</f>
        <v>62.832246190843783</v>
      </c>
      <c r="L68" s="22">
        <f>(Main!S67/2)-(Main!D67/2)</f>
        <v>23.85</v>
      </c>
      <c r="M68" s="22">
        <f>Main!C67</f>
        <v>62.832246190843783</v>
      </c>
      <c r="N68" s="22">
        <f>(Main!S67/2)-(Main!D67/2)</f>
        <v>23.85</v>
      </c>
      <c r="O68" s="22">
        <f>Main!C67</f>
        <v>62.832246190843783</v>
      </c>
      <c r="P68" s="22">
        <f>(Main!S67/2)-(Main!D67/2)</f>
        <v>23.85</v>
      </c>
      <c r="Q68" s="22">
        <f>Main!C67</f>
        <v>62.832246190843783</v>
      </c>
      <c r="R68" s="22">
        <f>(Main!S67/2)-(Main!D67/2)</f>
        <v>23.85</v>
      </c>
      <c r="S68" s="22">
        <f>Main!C67</f>
        <v>62.832246190843783</v>
      </c>
      <c r="T68" s="22">
        <f>Main!S67</f>
        <v>50</v>
      </c>
      <c r="U68" s="22">
        <f>Main!S67</f>
        <v>50</v>
      </c>
      <c r="V68" s="22">
        <f>Main!T67</f>
        <v>10</v>
      </c>
      <c r="W68" s="22">
        <f>Main!R67+(Main!U67*2)</f>
        <v>8.7971254333871691</v>
      </c>
      <c r="X68" s="22">
        <f>Main!R67+(Main!U67*2)</f>
        <v>8.7971254333871691</v>
      </c>
      <c r="Y68" s="22">
        <v>3</v>
      </c>
      <c r="Z68" s="22">
        <f>Main!D67</f>
        <v>2.2999999999999998</v>
      </c>
      <c r="AA68" s="22">
        <f>Main!D67</f>
        <v>2.2999999999999998</v>
      </c>
      <c r="AB68" s="22">
        <v>3</v>
      </c>
      <c r="AC68" s="22">
        <f>(Main!R67/2)-(Main!D67/2)</f>
        <v>1.2485627166935842</v>
      </c>
      <c r="AD68" s="22">
        <v>3</v>
      </c>
      <c r="AE68" s="22">
        <f>(Main!R67/2)-(Main!D67/2)</f>
        <v>1.2485627166935842</v>
      </c>
      <c r="AF68" s="22">
        <v>3</v>
      </c>
      <c r="AG68" s="22">
        <f>(Main!R67/2)-(Main!D67/2)</f>
        <v>1.2485627166935842</v>
      </c>
      <c r="AH68" s="22">
        <v>3</v>
      </c>
      <c r="AI68" s="22">
        <f>(Main!R67/2)-(Main!D67/2)</f>
        <v>1.2485627166935842</v>
      </c>
      <c r="AJ68" s="22">
        <v>3</v>
      </c>
    </row>
    <row r="69" spans="1:36" ht="15" customHeight="1" x14ac:dyDescent="0.45">
      <c r="A69" s="22">
        <v>66</v>
      </c>
      <c r="B69" s="22">
        <f>Main!S68+(2*Main!U68)</f>
        <v>54</v>
      </c>
      <c r="C69" s="22">
        <f>Main!S68+(2*Main!U68)</f>
        <v>54</v>
      </c>
      <c r="D69" s="22">
        <f>Main!C68</f>
        <v>57.977630449821568</v>
      </c>
      <c r="E69" s="22">
        <f>(Main!D68/2)+Main!U68</f>
        <v>3.15</v>
      </c>
      <c r="F69" s="22">
        <f>(Main!D68/2)+Main!U68</f>
        <v>3.15</v>
      </c>
      <c r="G69" s="22">
        <f>(Main!D68/2)+Main!U68</f>
        <v>3.15</v>
      </c>
      <c r="H69" s="22">
        <f>(Main!D68/2)+Main!U68</f>
        <v>3.15</v>
      </c>
      <c r="I69" s="22">
        <f>Main!D68</f>
        <v>2.2999999999999998</v>
      </c>
      <c r="J69" s="22">
        <f>Main!D68</f>
        <v>2.2999999999999998</v>
      </c>
      <c r="K69" s="22">
        <f>Main!C68</f>
        <v>57.977630449821568</v>
      </c>
      <c r="L69" s="22">
        <f>(Main!S68/2)-(Main!D68/2)</f>
        <v>23.85</v>
      </c>
      <c r="M69" s="22">
        <f>Main!C68</f>
        <v>57.977630449821568</v>
      </c>
      <c r="N69" s="22">
        <f>(Main!S68/2)-(Main!D68/2)</f>
        <v>23.85</v>
      </c>
      <c r="O69" s="22">
        <f>Main!C68</f>
        <v>57.977630449821568</v>
      </c>
      <c r="P69" s="22">
        <f>(Main!S68/2)-(Main!D68/2)</f>
        <v>23.85</v>
      </c>
      <c r="Q69" s="22">
        <f>Main!C68</f>
        <v>57.977630449821568</v>
      </c>
      <c r="R69" s="22">
        <f>(Main!S68/2)-(Main!D68/2)</f>
        <v>23.85</v>
      </c>
      <c r="S69" s="22">
        <f>Main!C68</f>
        <v>57.977630449821568</v>
      </c>
      <c r="T69" s="22">
        <f>Main!S68</f>
        <v>50</v>
      </c>
      <c r="U69" s="22">
        <f>Main!S68</f>
        <v>50</v>
      </c>
      <c r="V69" s="22">
        <f>Main!T68</f>
        <v>10</v>
      </c>
      <c r="W69" s="22">
        <f>Main!R68+(Main!U68*2)</f>
        <v>9.0062161523795581</v>
      </c>
      <c r="X69" s="22">
        <f>Main!R68+(Main!U68*2)</f>
        <v>9.0062161523795581</v>
      </c>
      <c r="Y69" s="22">
        <v>3</v>
      </c>
      <c r="Z69" s="22">
        <f>Main!D68</f>
        <v>2.2999999999999998</v>
      </c>
      <c r="AA69" s="22">
        <f>Main!D68</f>
        <v>2.2999999999999998</v>
      </c>
      <c r="AB69" s="22">
        <v>3</v>
      </c>
      <c r="AC69" s="22">
        <f>(Main!R68/2)-(Main!D68/2)</f>
        <v>1.3531080761897787</v>
      </c>
      <c r="AD69" s="22">
        <v>3</v>
      </c>
      <c r="AE69" s="22">
        <f>(Main!R68/2)-(Main!D68/2)</f>
        <v>1.3531080761897787</v>
      </c>
      <c r="AF69" s="22">
        <v>3</v>
      </c>
      <c r="AG69" s="22">
        <f>(Main!R68/2)-(Main!D68/2)</f>
        <v>1.3531080761897787</v>
      </c>
      <c r="AH69" s="22">
        <v>3</v>
      </c>
      <c r="AI69" s="22">
        <f>(Main!R68/2)-(Main!D68/2)</f>
        <v>1.3531080761897787</v>
      </c>
      <c r="AJ69" s="22">
        <v>3</v>
      </c>
    </row>
    <row r="70" spans="1:36" ht="15" customHeight="1" x14ac:dyDescent="0.45">
      <c r="A70" s="22">
        <v>67</v>
      </c>
      <c r="B70" s="22">
        <f>Main!S69+(2*Main!U69)</f>
        <v>54</v>
      </c>
      <c r="C70" s="22">
        <f>Main!S69+(2*Main!U69)</f>
        <v>54</v>
      </c>
      <c r="D70" s="22">
        <f>Main!C69</f>
        <v>54.797151179694914</v>
      </c>
      <c r="E70" s="22">
        <f>(Main!D69/2)+Main!U69</f>
        <v>3.15</v>
      </c>
      <c r="F70" s="22">
        <f>(Main!D69/2)+Main!U69</f>
        <v>3.15</v>
      </c>
      <c r="G70" s="22">
        <f>(Main!D69/2)+Main!U69</f>
        <v>3.15</v>
      </c>
      <c r="H70" s="22">
        <f>(Main!D69/2)+Main!U69</f>
        <v>3.15</v>
      </c>
      <c r="I70" s="22">
        <f>Main!D69</f>
        <v>2.2999999999999998</v>
      </c>
      <c r="J70" s="22">
        <f>Main!D69</f>
        <v>2.2999999999999998</v>
      </c>
      <c r="K70" s="22">
        <f>Main!C69</f>
        <v>54.797151179694914</v>
      </c>
      <c r="L70" s="22">
        <f>(Main!S69/2)-(Main!D69/2)</f>
        <v>23.85</v>
      </c>
      <c r="M70" s="22">
        <f>Main!C69</f>
        <v>54.797151179694914</v>
      </c>
      <c r="N70" s="22">
        <f>(Main!S69/2)-(Main!D69/2)</f>
        <v>23.85</v>
      </c>
      <c r="O70" s="22">
        <f>Main!C69</f>
        <v>54.797151179694914</v>
      </c>
      <c r="P70" s="22">
        <f>(Main!S69/2)-(Main!D69/2)</f>
        <v>23.85</v>
      </c>
      <c r="Q70" s="22">
        <f>Main!C69</f>
        <v>54.797151179694914</v>
      </c>
      <c r="R70" s="22">
        <f>(Main!S69/2)-(Main!D69/2)</f>
        <v>23.85</v>
      </c>
      <c r="S70" s="22">
        <f>Main!C69</f>
        <v>54.797151179694914</v>
      </c>
      <c r="T70" s="22">
        <f>Main!S69</f>
        <v>50</v>
      </c>
      <c r="U70" s="22">
        <f>Main!S69</f>
        <v>50</v>
      </c>
      <c r="V70" s="22">
        <f>Main!T69</f>
        <v>10</v>
      </c>
      <c r="W70" s="22">
        <f>Main!R69+(Main!U69*2)</f>
        <v>9.1632875363443951</v>
      </c>
      <c r="X70" s="22">
        <f>Main!R69+(Main!U69*2)</f>
        <v>9.1632875363443951</v>
      </c>
      <c r="Y70" s="22">
        <v>3</v>
      </c>
      <c r="Z70" s="22">
        <f>Main!D69</f>
        <v>2.2999999999999998</v>
      </c>
      <c r="AA70" s="22">
        <f>Main!D69</f>
        <v>2.2999999999999998</v>
      </c>
      <c r="AB70" s="22">
        <v>3</v>
      </c>
      <c r="AC70" s="22">
        <f>(Main!R69/2)-(Main!D69/2)</f>
        <v>1.4316437681721976</v>
      </c>
      <c r="AD70" s="22">
        <v>3</v>
      </c>
      <c r="AE70" s="22">
        <f>(Main!R69/2)-(Main!D69/2)</f>
        <v>1.4316437681721976</v>
      </c>
      <c r="AF70" s="22">
        <v>3</v>
      </c>
      <c r="AG70" s="22">
        <f>(Main!R69/2)-(Main!D69/2)</f>
        <v>1.4316437681721976</v>
      </c>
      <c r="AH70" s="22">
        <v>3</v>
      </c>
      <c r="AI70" s="22">
        <f>(Main!R69/2)-(Main!D69/2)</f>
        <v>1.4316437681721976</v>
      </c>
      <c r="AJ70" s="22">
        <v>3</v>
      </c>
    </row>
    <row r="71" spans="1:36" ht="15" customHeight="1" x14ac:dyDescent="0.45">
      <c r="A71" s="22">
        <v>68</v>
      </c>
      <c r="B71" s="22">
        <f>Main!S70+(2*Main!U70)</f>
        <v>54</v>
      </c>
      <c r="C71" s="22">
        <f>Main!S70+(2*Main!U70)</f>
        <v>54</v>
      </c>
      <c r="D71" s="22">
        <f>Main!C70</f>
        <v>53.571762152255161</v>
      </c>
      <c r="E71" s="22">
        <f>(Main!D70/2)+Main!U70</f>
        <v>3.15</v>
      </c>
      <c r="F71" s="22">
        <f>(Main!D70/2)+Main!U70</f>
        <v>3.15</v>
      </c>
      <c r="G71" s="22">
        <f>(Main!D70/2)+Main!U70</f>
        <v>3.15</v>
      </c>
      <c r="H71" s="22">
        <f>(Main!D70/2)+Main!U70</f>
        <v>3.15</v>
      </c>
      <c r="I71" s="22">
        <f>Main!D70</f>
        <v>2.2999999999999998</v>
      </c>
      <c r="J71" s="22">
        <f>Main!D70</f>
        <v>2.2999999999999998</v>
      </c>
      <c r="K71" s="22">
        <f>Main!C70</f>
        <v>53.571762152255161</v>
      </c>
      <c r="L71" s="22">
        <f>(Main!S70/2)-(Main!D70/2)</f>
        <v>23.85</v>
      </c>
      <c r="M71" s="22">
        <f>Main!C70</f>
        <v>53.571762152255161</v>
      </c>
      <c r="N71" s="22">
        <f>(Main!S70/2)-(Main!D70/2)</f>
        <v>23.85</v>
      </c>
      <c r="O71" s="22">
        <f>Main!C70</f>
        <v>53.571762152255161</v>
      </c>
      <c r="P71" s="22">
        <f>(Main!S70/2)-(Main!D70/2)</f>
        <v>23.85</v>
      </c>
      <c r="Q71" s="22">
        <f>Main!C70</f>
        <v>53.571762152255161</v>
      </c>
      <c r="R71" s="22">
        <f>(Main!S70/2)-(Main!D70/2)</f>
        <v>23.85</v>
      </c>
      <c r="S71" s="22">
        <f>Main!C70</f>
        <v>53.571762152255161</v>
      </c>
      <c r="T71" s="22">
        <f>Main!S70</f>
        <v>50</v>
      </c>
      <c r="U71" s="22">
        <f>Main!S70</f>
        <v>50</v>
      </c>
      <c r="V71" s="22">
        <f>Main!T70</f>
        <v>10</v>
      </c>
      <c r="W71" s="22">
        <f>Main!R70+(Main!U70*2)</f>
        <v>9.2287817629384268</v>
      </c>
      <c r="X71" s="22">
        <f>Main!R70+(Main!U70*2)</f>
        <v>9.2287817629384268</v>
      </c>
      <c r="Y71" s="22">
        <v>3</v>
      </c>
      <c r="Z71" s="22">
        <f>Main!D70</f>
        <v>2.2999999999999998</v>
      </c>
      <c r="AA71" s="22">
        <f>Main!D70</f>
        <v>2.2999999999999998</v>
      </c>
      <c r="AB71" s="22">
        <v>3</v>
      </c>
      <c r="AC71" s="22">
        <f>(Main!R70/2)-(Main!D70/2)</f>
        <v>1.4643908814692135</v>
      </c>
      <c r="AD71" s="22">
        <v>3</v>
      </c>
      <c r="AE71" s="22">
        <f>(Main!R70/2)-(Main!D70/2)</f>
        <v>1.4643908814692135</v>
      </c>
      <c r="AF71" s="22">
        <v>3</v>
      </c>
      <c r="AG71" s="22">
        <f>(Main!R70/2)-(Main!D70/2)</f>
        <v>1.4643908814692135</v>
      </c>
      <c r="AH71" s="22">
        <v>3</v>
      </c>
      <c r="AI71" s="22">
        <f>(Main!R70/2)-(Main!D70/2)</f>
        <v>1.4643908814692135</v>
      </c>
      <c r="AJ71" s="22">
        <v>3</v>
      </c>
    </row>
    <row r="72" spans="1:36" ht="15" customHeight="1" x14ac:dyDescent="0.45">
      <c r="A72" s="22">
        <v>69</v>
      </c>
      <c r="B72" s="22">
        <f>Main!S71+(2*Main!U71)</f>
        <v>54</v>
      </c>
      <c r="C72" s="22">
        <f>Main!S71+(2*Main!U71)</f>
        <v>54</v>
      </c>
      <c r="D72" s="22">
        <f>Main!C71</f>
        <v>54.407518077103731</v>
      </c>
      <c r="E72" s="22">
        <f>(Main!D71/2)+Main!U71</f>
        <v>3.15</v>
      </c>
      <c r="F72" s="22">
        <f>(Main!D71/2)+Main!U71</f>
        <v>3.15</v>
      </c>
      <c r="G72" s="22">
        <f>(Main!D71/2)+Main!U71</f>
        <v>3.15</v>
      </c>
      <c r="H72" s="22">
        <f>(Main!D71/2)+Main!U71</f>
        <v>3.15</v>
      </c>
      <c r="I72" s="22">
        <f>Main!D71</f>
        <v>2.2999999999999998</v>
      </c>
      <c r="J72" s="22">
        <f>Main!D71</f>
        <v>2.2999999999999998</v>
      </c>
      <c r="K72" s="22">
        <f>Main!C71</f>
        <v>54.407518077103731</v>
      </c>
      <c r="L72" s="22">
        <f>(Main!S71/2)-(Main!D71/2)</f>
        <v>23.85</v>
      </c>
      <c r="M72" s="22">
        <f>Main!C71</f>
        <v>54.407518077103731</v>
      </c>
      <c r="N72" s="22">
        <f>(Main!S71/2)-(Main!D71/2)</f>
        <v>23.85</v>
      </c>
      <c r="O72" s="22">
        <f>Main!C71</f>
        <v>54.407518077103731</v>
      </c>
      <c r="P72" s="22">
        <f>(Main!S71/2)-(Main!D71/2)</f>
        <v>23.85</v>
      </c>
      <c r="Q72" s="22">
        <f>Main!C71</f>
        <v>54.407518077103731</v>
      </c>
      <c r="R72" s="22">
        <f>(Main!S71/2)-(Main!D71/2)</f>
        <v>23.85</v>
      </c>
      <c r="S72" s="22">
        <f>Main!C71</f>
        <v>54.407518077103731</v>
      </c>
      <c r="T72" s="22">
        <f>Main!S71</f>
        <v>50</v>
      </c>
      <c r="U72" s="22">
        <f>Main!S71</f>
        <v>50</v>
      </c>
      <c r="V72" s="22">
        <f>Main!T71</f>
        <v>10</v>
      </c>
      <c r="W72" s="22">
        <f>Main!R71+(Main!U71*2)</f>
        <v>9.1837926364817601</v>
      </c>
      <c r="X72" s="22">
        <f>Main!R71+(Main!U71*2)</f>
        <v>9.1837926364817601</v>
      </c>
      <c r="Y72" s="22">
        <v>3</v>
      </c>
      <c r="Z72" s="22">
        <f>Main!D71</f>
        <v>2.2999999999999998</v>
      </c>
      <c r="AA72" s="22">
        <f>Main!D71</f>
        <v>2.2999999999999998</v>
      </c>
      <c r="AB72" s="22">
        <v>3</v>
      </c>
      <c r="AC72" s="22">
        <f>(Main!R71/2)-(Main!D71/2)</f>
        <v>1.4418963182408802</v>
      </c>
      <c r="AD72" s="22">
        <v>3</v>
      </c>
      <c r="AE72" s="22">
        <f>(Main!R71/2)-(Main!D71/2)</f>
        <v>1.4418963182408802</v>
      </c>
      <c r="AF72" s="22">
        <v>3</v>
      </c>
      <c r="AG72" s="22">
        <f>(Main!R71/2)-(Main!D71/2)</f>
        <v>1.4418963182408802</v>
      </c>
      <c r="AH72" s="22">
        <v>3</v>
      </c>
      <c r="AI72" s="22">
        <f>(Main!R71/2)-(Main!D71/2)</f>
        <v>1.4418963182408802</v>
      </c>
      <c r="AJ72" s="22">
        <v>3</v>
      </c>
    </row>
    <row r="73" spans="1:36" ht="15" customHeight="1" x14ac:dyDescent="0.45">
      <c r="A73" s="22">
        <v>70</v>
      </c>
      <c r="B73" s="22">
        <f>Main!S72+(2*Main!U72)</f>
        <v>54</v>
      </c>
      <c r="C73" s="22">
        <f>Main!S72+(2*Main!U72)</f>
        <v>54</v>
      </c>
      <c r="D73" s="22">
        <f>Main!C72</f>
        <v>56.979059522021117</v>
      </c>
      <c r="E73" s="22">
        <f>(Main!D72/2)+Main!U72</f>
        <v>3.15</v>
      </c>
      <c r="F73" s="22">
        <f>(Main!D72/2)+Main!U72</f>
        <v>3.15</v>
      </c>
      <c r="G73" s="22">
        <f>(Main!D72/2)+Main!U72</f>
        <v>3.15</v>
      </c>
      <c r="H73" s="22">
        <f>(Main!D72/2)+Main!U72</f>
        <v>3.15</v>
      </c>
      <c r="I73" s="22">
        <f>Main!D72</f>
        <v>2.2999999999999998</v>
      </c>
      <c r="J73" s="22">
        <f>Main!D72</f>
        <v>2.2999999999999998</v>
      </c>
      <c r="K73" s="22">
        <f>Main!C72</f>
        <v>56.979059522021117</v>
      </c>
      <c r="L73" s="22">
        <f>(Main!S72/2)-(Main!D72/2)</f>
        <v>23.85</v>
      </c>
      <c r="M73" s="22">
        <f>Main!C72</f>
        <v>56.979059522021117</v>
      </c>
      <c r="N73" s="22">
        <f>(Main!S72/2)-(Main!D72/2)</f>
        <v>23.85</v>
      </c>
      <c r="O73" s="22">
        <f>Main!C72</f>
        <v>56.979059522021117</v>
      </c>
      <c r="P73" s="22">
        <f>(Main!S72/2)-(Main!D72/2)</f>
        <v>23.85</v>
      </c>
      <c r="Q73" s="22">
        <f>Main!C72</f>
        <v>56.979059522021117</v>
      </c>
      <c r="R73" s="22">
        <f>(Main!S72/2)-(Main!D72/2)</f>
        <v>23.85</v>
      </c>
      <c r="S73" s="22">
        <f>Main!C72</f>
        <v>56.979059522021117</v>
      </c>
      <c r="T73" s="22">
        <f>Main!S72</f>
        <v>50</v>
      </c>
      <c r="U73" s="22">
        <f>Main!S72</f>
        <v>50</v>
      </c>
      <c r="V73" s="22">
        <f>Main!T72</f>
        <v>10</v>
      </c>
      <c r="W73" s="22">
        <f>Main!R72+(Main!U72*2)</f>
        <v>9.0536432035941488</v>
      </c>
      <c r="X73" s="22">
        <f>Main!R72+(Main!U72*2)</f>
        <v>9.0536432035941488</v>
      </c>
      <c r="Y73" s="22">
        <v>3</v>
      </c>
      <c r="Z73" s="22">
        <f>Main!D72</f>
        <v>2.2999999999999998</v>
      </c>
      <c r="AA73" s="22">
        <f>Main!D72</f>
        <v>2.2999999999999998</v>
      </c>
      <c r="AB73" s="22">
        <v>3</v>
      </c>
      <c r="AC73" s="22">
        <f>(Main!R72/2)-(Main!D72/2)</f>
        <v>1.3768216017970749</v>
      </c>
      <c r="AD73" s="22">
        <v>3</v>
      </c>
      <c r="AE73" s="22">
        <f>(Main!R72/2)-(Main!D72/2)</f>
        <v>1.3768216017970749</v>
      </c>
      <c r="AF73" s="22">
        <v>3</v>
      </c>
      <c r="AG73" s="22">
        <f>(Main!R72/2)-(Main!D72/2)</f>
        <v>1.3768216017970749</v>
      </c>
      <c r="AH73" s="22">
        <v>3</v>
      </c>
      <c r="AI73" s="22">
        <f>(Main!R72/2)-(Main!D72/2)</f>
        <v>1.3768216017970749</v>
      </c>
      <c r="AJ73" s="22">
        <v>3</v>
      </c>
    </row>
    <row r="74" spans="1:36" ht="15" customHeight="1" x14ac:dyDescent="0.45">
      <c r="A74" s="22">
        <v>71</v>
      </c>
      <c r="B74" s="22">
        <f>Main!S73+(2*Main!U73)</f>
        <v>54</v>
      </c>
      <c r="C74" s="22">
        <f>Main!S73+(2*Main!U73)</f>
        <v>54</v>
      </c>
      <c r="D74" s="22">
        <f>Main!C73</f>
        <v>60.741524539105065</v>
      </c>
      <c r="E74" s="22">
        <f>(Main!D73/2)+Main!U73</f>
        <v>3.15</v>
      </c>
      <c r="F74" s="22">
        <f>(Main!D73/2)+Main!U73</f>
        <v>3.15</v>
      </c>
      <c r="G74" s="22">
        <f>(Main!D73/2)+Main!U73</f>
        <v>3.15</v>
      </c>
      <c r="H74" s="22">
        <f>(Main!D73/2)+Main!U73</f>
        <v>3.15</v>
      </c>
      <c r="I74" s="22">
        <f>Main!D73</f>
        <v>2.2999999999999998</v>
      </c>
      <c r="J74" s="22">
        <f>Main!D73</f>
        <v>2.2999999999999998</v>
      </c>
      <c r="K74" s="22">
        <f>Main!C73</f>
        <v>60.741524539105065</v>
      </c>
      <c r="L74" s="22">
        <f>(Main!S73/2)-(Main!D73/2)</f>
        <v>23.85</v>
      </c>
      <c r="M74" s="22">
        <f>Main!C73</f>
        <v>60.741524539105065</v>
      </c>
      <c r="N74" s="22">
        <f>(Main!S73/2)-(Main!D73/2)</f>
        <v>23.85</v>
      </c>
      <c r="O74" s="22">
        <f>Main!C73</f>
        <v>60.741524539105065</v>
      </c>
      <c r="P74" s="22">
        <f>(Main!S73/2)-(Main!D73/2)</f>
        <v>23.85</v>
      </c>
      <c r="Q74" s="22">
        <f>Main!C73</f>
        <v>60.741524539105065</v>
      </c>
      <c r="R74" s="22">
        <f>(Main!S73/2)-(Main!D73/2)</f>
        <v>23.85</v>
      </c>
      <c r="S74" s="22">
        <f>Main!C73</f>
        <v>60.741524539105065</v>
      </c>
      <c r="T74" s="22">
        <f>Main!S73</f>
        <v>50</v>
      </c>
      <c r="U74" s="22">
        <f>Main!S73</f>
        <v>50</v>
      </c>
      <c r="V74" s="22">
        <f>Main!T73</f>
        <v>10</v>
      </c>
      <c r="W74" s="22">
        <f>Main!R73+(Main!U73*2)</f>
        <v>8.8830764240859423</v>
      </c>
      <c r="X74" s="22">
        <f>Main!R73+(Main!U73*2)</f>
        <v>8.8830764240859423</v>
      </c>
      <c r="Y74" s="22">
        <v>3</v>
      </c>
      <c r="Z74" s="22">
        <f>Main!D73</f>
        <v>2.2999999999999998</v>
      </c>
      <c r="AA74" s="22">
        <f>Main!D73</f>
        <v>2.2999999999999998</v>
      </c>
      <c r="AB74" s="22">
        <v>3</v>
      </c>
      <c r="AC74" s="22">
        <f>(Main!R73/2)-(Main!D73/2)</f>
        <v>1.2915382120429708</v>
      </c>
      <c r="AD74" s="22">
        <v>3</v>
      </c>
      <c r="AE74" s="22">
        <f>(Main!R73/2)-(Main!D73/2)</f>
        <v>1.2915382120429708</v>
      </c>
      <c r="AF74" s="22">
        <v>3</v>
      </c>
      <c r="AG74" s="22">
        <f>(Main!R73/2)-(Main!D73/2)</f>
        <v>1.2915382120429708</v>
      </c>
      <c r="AH74" s="22">
        <v>3</v>
      </c>
      <c r="AI74" s="22">
        <f>(Main!R73/2)-(Main!D73/2)</f>
        <v>1.2915382120429708</v>
      </c>
      <c r="AJ74" s="22">
        <v>3</v>
      </c>
    </row>
    <row r="75" spans="1:36" ht="15" customHeight="1" x14ac:dyDescent="0.45">
      <c r="A75" s="22">
        <v>72</v>
      </c>
      <c r="B75" s="22">
        <f>Main!S74+(2*Main!U74)</f>
        <v>54</v>
      </c>
      <c r="C75" s="22">
        <f>Main!S74+(2*Main!U74)</f>
        <v>54</v>
      </c>
      <c r="D75" s="22">
        <f>Main!C74</f>
        <v>65.028733114332397</v>
      </c>
      <c r="E75" s="22">
        <f>(Main!D74/2)+Main!U74</f>
        <v>3.15</v>
      </c>
      <c r="F75" s="22">
        <f>(Main!D74/2)+Main!U74</f>
        <v>3.15</v>
      </c>
      <c r="G75" s="22">
        <f>(Main!D74/2)+Main!U74</f>
        <v>3.15</v>
      </c>
      <c r="H75" s="22">
        <f>(Main!D74/2)+Main!U74</f>
        <v>3.15</v>
      </c>
      <c r="I75" s="22">
        <f>Main!D74</f>
        <v>2.2999999999999998</v>
      </c>
      <c r="J75" s="22">
        <f>Main!D74</f>
        <v>2.2999999999999998</v>
      </c>
      <c r="K75" s="22">
        <f>Main!C74</f>
        <v>65.028733114332397</v>
      </c>
      <c r="L75" s="22">
        <f>(Main!S74/2)-(Main!D74/2)</f>
        <v>23.85</v>
      </c>
      <c r="M75" s="22">
        <f>Main!C74</f>
        <v>65.028733114332397</v>
      </c>
      <c r="N75" s="22">
        <f>(Main!S74/2)-(Main!D74/2)</f>
        <v>23.85</v>
      </c>
      <c r="O75" s="22">
        <f>Main!C74</f>
        <v>65.028733114332397</v>
      </c>
      <c r="P75" s="22">
        <f>(Main!S74/2)-(Main!D74/2)</f>
        <v>23.85</v>
      </c>
      <c r="Q75" s="22">
        <f>Main!C74</f>
        <v>65.028733114332397</v>
      </c>
      <c r="R75" s="22">
        <f>(Main!S74/2)-(Main!D74/2)</f>
        <v>23.85</v>
      </c>
      <c r="S75" s="22">
        <f>Main!C74</f>
        <v>65.028733114332397</v>
      </c>
      <c r="T75" s="22">
        <f>Main!S74</f>
        <v>50</v>
      </c>
      <c r="U75" s="22">
        <f>Main!S74</f>
        <v>50</v>
      </c>
      <c r="V75" s="22">
        <f>Main!T74</f>
        <v>10</v>
      </c>
      <c r="W75" s="22">
        <f>Main!R74+(Main!U74*2)</f>
        <v>8.712779589664482</v>
      </c>
      <c r="X75" s="22">
        <f>Main!R74+(Main!U74*2)</f>
        <v>8.712779589664482</v>
      </c>
      <c r="Y75" s="22">
        <v>3</v>
      </c>
      <c r="Z75" s="22">
        <f>Main!D74</f>
        <v>2.2999999999999998</v>
      </c>
      <c r="AA75" s="22">
        <f>Main!D74</f>
        <v>2.2999999999999998</v>
      </c>
      <c r="AB75" s="22">
        <v>3</v>
      </c>
      <c r="AC75" s="22">
        <f>(Main!R74/2)-(Main!D74/2)</f>
        <v>1.2063897948322411</v>
      </c>
      <c r="AD75" s="22">
        <v>3</v>
      </c>
      <c r="AE75" s="22">
        <f>(Main!R74/2)-(Main!D74/2)</f>
        <v>1.2063897948322411</v>
      </c>
      <c r="AF75" s="22">
        <v>3</v>
      </c>
      <c r="AG75" s="22">
        <f>(Main!R74/2)-(Main!D74/2)</f>
        <v>1.2063897948322411</v>
      </c>
      <c r="AH75" s="22">
        <v>3</v>
      </c>
      <c r="AI75" s="22">
        <f>(Main!R74/2)-(Main!D74/2)</f>
        <v>1.2063897948322411</v>
      </c>
      <c r="AJ75" s="22">
        <v>3</v>
      </c>
    </row>
    <row r="76" spans="1:36" ht="15" customHeight="1" x14ac:dyDescent="0.45">
      <c r="A76" s="22">
        <v>73</v>
      </c>
      <c r="B76" s="22">
        <f>Main!S75+(2*Main!U75)</f>
        <v>54</v>
      </c>
      <c r="C76" s="22">
        <f>Main!S75+(2*Main!U75)</f>
        <v>54</v>
      </c>
      <c r="D76" s="22">
        <f>Main!C75</f>
        <v>69.141984211777583</v>
      </c>
      <c r="E76" s="22">
        <f>(Main!D75/2)+Main!U75</f>
        <v>3.15</v>
      </c>
      <c r="F76" s="22">
        <f>(Main!D75/2)+Main!U75</f>
        <v>3.15</v>
      </c>
      <c r="G76" s="22">
        <f>(Main!D75/2)+Main!U75</f>
        <v>3.15</v>
      </c>
      <c r="H76" s="22">
        <f>(Main!D75/2)+Main!U75</f>
        <v>3.15</v>
      </c>
      <c r="I76" s="22">
        <f>Main!D75</f>
        <v>2.2999999999999998</v>
      </c>
      <c r="J76" s="22">
        <f>Main!D75</f>
        <v>2.2999999999999998</v>
      </c>
      <c r="K76" s="22">
        <f>Main!C75</f>
        <v>69.141984211777583</v>
      </c>
      <c r="L76" s="22">
        <f>(Main!S75/2)-(Main!D75/2)</f>
        <v>23.85</v>
      </c>
      <c r="M76" s="22">
        <f>Main!C75</f>
        <v>69.141984211777583</v>
      </c>
      <c r="N76" s="22">
        <f>(Main!S75/2)-(Main!D75/2)</f>
        <v>23.85</v>
      </c>
      <c r="O76" s="22">
        <f>Main!C75</f>
        <v>69.141984211777583</v>
      </c>
      <c r="P76" s="22">
        <f>(Main!S75/2)-(Main!D75/2)</f>
        <v>23.85</v>
      </c>
      <c r="Q76" s="22">
        <f>Main!C75</f>
        <v>69.141984211777583</v>
      </c>
      <c r="R76" s="22">
        <f>(Main!S75/2)-(Main!D75/2)</f>
        <v>23.85</v>
      </c>
      <c r="S76" s="22">
        <f>Main!C75</f>
        <v>69.141984211777583</v>
      </c>
      <c r="T76" s="22">
        <f>Main!S75</f>
        <v>50</v>
      </c>
      <c r="U76" s="22">
        <f>Main!S75</f>
        <v>50</v>
      </c>
      <c r="V76" s="22">
        <f>Main!T75</f>
        <v>10</v>
      </c>
      <c r="W76" s="22">
        <f>Main!R75+(Main!U75*2)</f>
        <v>8.5692435253148815</v>
      </c>
      <c r="X76" s="22">
        <f>Main!R75+(Main!U75*2)</f>
        <v>8.5692435253148815</v>
      </c>
      <c r="Y76" s="22">
        <v>3</v>
      </c>
      <c r="Z76" s="22">
        <f>Main!D75</f>
        <v>2.2999999999999998</v>
      </c>
      <c r="AA76" s="22">
        <f>Main!D75</f>
        <v>2.2999999999999998</v>
      </c>
      <c r="AB76" s="22">
        <v>3</v>
      </c>
      <c r="AC76" s="22">
        <f>(Main!R75/2)-(Main!D75/2)</f>
        <v>1.1346217626574409</v>
      </c>
      <c r="AD76" s="22">
        <v>3</v>
      </c>
      <c r="AE76" s="22">
        <f>(Main!R75/2)-(Main!D75/2)</f>
        <v>1.1346217626574409</v>
      </c>
      <c r="AF76" s="22">
        <v>3</v>
      </c>
      <c r="AG76" s="22">
        <f>(Main!R75/2)-(Main!D75/2)</f>
        <v>1.1346217626574409</v>
      </c>
      <c r="AH76" s="22">
        <v>3</v>
      </c>
      <c r="AI76" s="22">
        <f>(Main!R75/2)-(Main!D75/2)</f>
        <v>1.1346217626574409</v>
      </c>
      <c r="AJ76" s="22">
        <v>3</v>
      </c>
    </row>
    <row r="77" spans="1:36" ht="15" customHeight="1" x14ac:dyDescent="0.45">
      <c r="A77" s="22">
        <v>74</v>
      </c>
      <c r="B77" s="22">
        <f>Main!S76+(2*Main!U76)</f>
        <v>54</v>
      </c>
      <c r="C77" s="22">
        <f>Main!S76+(2*Main!U76)</f>
        <v>54</v>
      </c>
      <c r="D77" s="22">
        <f>Main!C76</f>
        <v>72.523027324148345</v>
      </c>
      <c r="E77" s="22">
        <f>(Main!D76/2)+Main!U76</f>
        <v>3.15</v>
      </c>
      <c r="F77" s="22">
        <f>(Main!D76/2)+Main!U76</f>
        <v>3.15</v>
      </c>
      <c r="G77" s="22">
        <f>(Main!D76/2)+Main!U76</f>
        <v>3.15</v>
      </c>
      <c r="H77" s="22">
        <f>(Main!D76/2)+Main!U76</f>
        <v>3.15</v>
      </c>
      <c r="I77" s="22">
        <f>Main!D76</f>
        <v>2.2999999999999998</v>
      </c>
      <c r="J77" s="22">
        <f>Main!D76</f>
        <v>2.2999999999999998</v>
      </c>
      <c r="K77" s="22">
        <f>Main!C76</f>
        <v>72.523027324148345</v>
      </c>
      <c r="L77" s="22">
        <f>(Main!S76/2)-(Main!D76/2)</f>
        <v>23.85</v>
      </c>
      <c r="M77" s="22">
        <f>Main!C76</f>
        <v>72.523027324148345</v>
      </c>
      <c r="N77" s="22">
        <f>(Main!S76/2)-(Main!D76/2)</f>
        <v>23.85</v>
      </c>
      <c r="O77" s="22">
        <f>Main!C76</f>
        <v>72.523027324148345</v>
      </c>
      <c r="P77" s="22">
        <f>(Main!S76/2)-(Main!D76/2)</f>
        <v>23.85</v>
      </c>
      <c r="Q77" s="22">
        <f>Main!C76</f>
        <v>72.523027324148345</v>
      </c>
      <c r="R77" s="22">
        <f>(Main!S76/2)-(Main!D76/2)</f>
        <v>23.85</v>
      </c>
      <c r="S77" s="22">
        <f>Main!C76</f>
        <v>72.523027324148345</v>
      </c>
      <c r="T77" s="22">
        <f>Main!S76</f>
        <v>50</v>
      </c>
      <c r="U77" s="22">
        <f>Main!S76</f>
        <v>50</v>
      </c>
      <c r="V77" s="22">
        <f>Main!T76</f>
        <v>10</v>
      </c>
      <c r="W77" s="22">
        <f>Main!R76+(Main!U76*2)</f>
        <v>8.4634507795533818</v>
      </c>
      <c r="X77" s="22">
        <f>Main!R76+(Main!U76*2)</f>
        <v>8.4634507795533818</v>
      </c>
      <c r="Y77" s="22">
        <v>3</v>
      </c>
      <c r="Z77" s="22">
        <f>Main!D76</f>
        <v>2.2999999999999998</v>
      </c>
      <c r="AA77" s="22">
        <f>Main!D76</f>
        <v>2.2999999999999998</v>
      </c>
      <c r="AB77" s="22">
        <v>3</v>
      </c>
      <c r="AC77" s="22">
        <f>(Main!R76/2)-(Main!D76/2)</f>
        <v>1.081725389776691</v>
      </c>
      <c r="AD77" s="22">
        <v>3</v>
      </c>
      <c r="AE77" s="22">
        <f>(Main!R76/2)-(Main!D76/2)</f>
        <v>1.081725389776691</v>
      </c>
      <c r="AF77" s="22">
        <v>3</v>
      </c>
      <c r="AG77" s="22">
        <f>(Main!R76/2)-(Main!D76/2)</f>
        <v>1.081725389776691</v>
      </c>
      <c r="AH77" s="22">
        <v>3</v>
      </c>
      <c r="AI77" s="22">
        <f>(Main!R76/2)-(Main!D76/2)</f>
        <v>1.081725389776691</v>
      </c>
      <c r="AJ77" s="22">
        <v>3</v>
      </c>
    </row>
    <row r="78" spans="1:36" ht="15" customHeight="1" x14ac:dyDescent="0.45">
      <c r="A78" s="22">
        <v>75</v>
      </c>
      <c r="B78" s="22">
        <f>Main!S77+(2*Main!U77)</f>
        <v>54</v>
      </c>
      <c r="C78" s="22">
        <f>Main!S77+(2*Main!U77)</f>
        <v>54</v>
      </c>
      <c r="D78" s="22">
        <f>Main!C77</f>
        <v>74.90315784053459</v>
      </c>
      <c r="E78" s="22">
        <f>(Main!D77/2)+Main!U77</f>
        <v>3.15</v>
      </c>
      <c r="F78" s="22">
        <f>(Main!D77/2)+Main!U77</f>
        <v>3.15</v>
      </c>
      <c r="G78" s="22">
        <f>(Main!D77/2)+Main!U77</f>
        <v>3.15</v>
      </c>
      <c r="H78" s="22">
        <f>(Main!D77/2)+Main!U77</f>
        <v>3.15</v>
      </c>
      <c r="I78" s="22">
        <f>Main!D77</f>
        <v>2.2999999999999998</v>
      </c>
      <c r="J78" s="22">
        <f>Main!D77</f>
        <v>2.2999999999999998</v>
      </c>
      <c r="K78" s="22">
        <f>Main!C77</f>
        <v>74.90315784053459</v>
      </c>
      <c r="L78" s="22">
        <f>(Main!S77/2)-(Main!D77/2)</f>
        <v>23.85</v>
      </c>
      <c r="M78" s="22">
        <f>Main!C77</f>
        <v>74.90315784053459</v>
      </c>
      <c r="N78" s="22">
        <f>(Main!S77/2)-(Main!D77/2)</f>
        <v>23.85</v>
      </c>
      <c r="O78" s="22">
        <f>Main!C77</f>
        <v>74.90315784053459</v>
      </c>
      <c r="P78" s="22">
        <f>(Main!S77/2)-(Main!D77/2)</f>
        <v>23.85</v>
      </c>
      <c r="Q78" s="22">
        <f>Main!C77</f>
        <v>74.90315784053459</v>
      </c>
      <c r="R78" s="22">
        <f>(Main!S77/2)-(Main!D77/2)</f>
        <v>23.85</v>
      </c>
      <c r="S78" s="22">
        <f>Main!C77</f>
        <v>74.90315784053459</v>
      </c>
      <c r="T78" s="22">
        <f>Main!S77</f>
        <v>50</v>
      </c>
      <c r="U78" s="22">
        <f>Main!S77</f>
        <v>50</v>
      </c>
      <c r="V78" s="22">
        <f>Main!T77</f>
        <v>10</v>
      </c>
      <c r="W78" s="22">
        <f>Main!R77+(Main!U77*2)</f>
        <v>8.3947047430768258</v>
      </c>
      <c r="X78" s="22">
        <f>Main!R77+(Main!U77*2)</f>
        <v>8.3947047430768258</v>
      </c>
      <c r="Y78" s="22">
        <v>3</v>
      </c>
      <c r="Z78" s="22">
        <f>Main!D77</f>
        <v>2.2999999999999998</v>
      </c>
      <c r="AA78" s="22">
        <f>Main!D77</f>
        <v>2.2999999999999998</v>
      </c>
      <c r="AB78" s="22">
        <v>3</v>
      </c>
      <c r="AC78" s="22">
        <f>(Main!R77/2)-(Main!D77/2)</f>
        <v>1.047352371538413</v>
      </c>
      <c r="AD78" s="22">
        <v>3</v>
      </c>
      <c r="AE78" s="22">
        <f>(Main!R77/2)-(Main!D77/2)</f>
        <v>1.047352371538413</v>
      </c>
      <c r="AF78" s="22">
        <v>3</v>
      </c>
      <c r="AG78" s="22">
        <f>(Main!R77/2)-(Main!D77/2)</f>
        <v>1.047352371538413</v>
      </c>
      <c r="AH78" s="22">
        <v>3</v>
      </c>
      <c r="AI78" s="22">
        <f>(Main!R77/2)-(Main!D77/2)</f>
        <v>1.047352371538413</v>
      </c>
      <c r="AJ78" s="22">
        <v>3</v>
      </c>
    </row>
    <row r="79" spans="1:36" ht="15" customHeight="1" x14ac:dyDescent="0.45">
      <c r="A79" s="22">
        <v>76</v>
      </c>
      <c r="B79" s="22">
        <f>Main!S78+(2*Main!U78)</f>
        <v>54</v>
      </c>
      <c r="C79" s="22">
        <f>Main!S78+(2*Main!U78)</f>
        <v>54</v>
      </c>
      <c r="D79" s="22">
        <f>Main!C78</f>
        <v>76.332661146866826</v>
      </c>
      <c r="E79" s="22">
        <f>(Main!D78/2)+Main!U78</f>
        <v>3.15</v>
      </c>
      <c r="F79" s="22">
        <f>(Main!D78/2)+Main!U78</f>
        <v>3.15</v>
      </c>
      <c r="G79" s="22">
        <f>(Main!D78/2)+Main!U78</f>
        <v>3.15</v>
      </c>
      <c r="H79" s="22">
        <f>(Main!D78/2)+Main!U78</f>
        <v>3.15</v>
      </c>
      <c r="I79" s="22">
        <f>Main!D78</f>
        <v>2.2999999999999998</v>
      </c>
      <c r="J79" s="22">
        <f>Main!D78</f>
        <v>2.2999999999999998</v>
      </c>
      <c r="K79" s="22">
        <f>Main!C78</f>
        <v>76.332661146866826</v>
      </c>
      <c r="L79" s="22">
        <f>(Main!S78/2)-(Main!D78/2)</f>
        <v>23.85</v>
      </c>
      <c r="M79" s="22">
        <f>Main!C78</f>
        <v>76.332661146866826</v>
      </c>
      <c r="N79" s="22">
        <f>(Main!S78/2)-(Main!D78/2)</f>
        <v>23.85</v>
      </c>
      <c r="O79" s="22">
        <f>Main!C78</f>
        <v>76.332661146866826</v>
      </c>
      <c r="P79" s="22">
        <f>(Main!S78/2)-(Main!D78/2)</f>
        <v>23.85</v>
      </c>
      <c r="Q79" s="22">
        <f>Main!C78</f>
        <v>76.332661146866826</v>
      </c>
      <c r="R79" s="22">
        <f>(Main!S78/2)-(Main!D78/2)</f>
        <v>23.85</v>
      </c>
      <c r="S79" s="22">
        <f>Main!C78</f>
        <v>76.332661146866826</v>
      </c>
      <c r="T79" s="22">
        <f>Main!S78</f>
        <v>50</v>
      </c>
      <c r="U79" s="22">
        <f>Main!S78</f>
        <v>50</v>
      </c>
      <c r="V79" s="22">
        <f>Main!T78</f>
        <v>10</v>
      </c>
      <c r="W79" s="22">
        <f>Main!R78+(Main!U78*2)</f>
        <v>8.3554766156798674</v>
      </c>
      <c r="X79" s="22">
        <f>Main!R78+(Main!U78*2)</f>
        <v>8.3554766156798674</v>
      </c>
      <c r="Y79" s="22">
        <v>3</v>
      </c>
      <c r="Z79" s="22">
        <f>Main!D78</f>
        <v>2.2999999999999998</v>
      </c>
      <c r="AA79" s="22">
        <f>Main!D78</f>
        <v>2.2999999999999998</v>
      </c>
      <c r="AB79" s="22">
        <v>3</v>
      </c>
      <c r="AC79" s="22">
        <f>(Main!R78/2)-(Main!D78/2)</f>
        <v>1.0277383078399338</v>
      </c>
      <c r="AD79" s="22">
        <v>3</v>
      </c>
      <c r="AE79" s="22">
        <f>(Main!R78/2)-(Main!D78/2)</f>
        <v>1.0277383078399338</v>
      </c>
      <c r="AF79" s="22">
        <v>3</v>
      </c>
      <c r="AG79" s="22">
        <f>(Main!R78/2)-(Main!D78/2)</f>
        <v>1.0277383078399338</v>
      </c>
      <c r="AH79" s="22">
        <v>3</v>
      </c>
      <c r="AI79" s="22">
        <f>(Main!R78/2)-(Main!D78/2)</f>
        <v>1.0277383078399338</v>
      </c>
      <c r="AJ79" s="22">
        <v>3</v>
      </c>
    </row>
    <row r="80" spans="1:36" ht="15" customHeight="1" x14ac:dyDescent="0.45">
      <c r="A80" s="22">
        <v>77</v>
      </c>
      <c r="B80" s="22">
        <f>Main!S79+(2*Main!U79)</f>
        <v>54</v>
      </c>
      <c r="C80" s="22">
        <f>Main!S79+(2*Main!U79)</f>
        <v>54</v>
      </c>
      <c r="D80" s="22">
        <f>Main!C79</f>
        <v>77.094853118342996</v>
      </c>
      <c r="E80" s="22">
        <f>(Main!D79/2)+Main!U79</f>
        <v>3.15</v>
      </c>
      <c r="F80" s="22">
        <f>(Main!D79/2)+Main!U79</f>
        <v>3.15</v>
      </c>
      <c r="G80" s="22">
        <f>(Main!D79/2)+Main!U79</f>
        <v>3.15</v>
      </c>
      <c r="H80" s="22">
        <f>(Main!D79/2)+Main!U79</f>
        <v>3.15</v>
      </c>
      <c r="I80" s="22">
        <f>Main!D79</f>
        <v>2.2999999999999998</v>
      </c>
      <c r="J80" s="22">
        <f>Main!D79</f>
        <v>2.2999999999999998</v>
      </c>
      <c r="K80" s="22">
        <f>Main!C79</f>
        <v>77.094853118342996</v>
      </c>
      <c r="L80" s="22">
        <f>(Main!S79/2)-(Main!D79/2)</f>
        <v>23.85</v>
      </c>
      <c r="M80" s="22">
        <f>Main!C79</f>
        <v>77.094853118342996</v>
      </c>
      <c r="N80" s="22">
        <f>(Main!S79/2)-(Main!D79/2)</f>
        <v>23.85</v>
      </c>
      <c r="O80" s="22">
        <f>Main!C79</f>
        <v>77.094853118342996</v>
      </c>
      <c r="P80" s="22">
        <f>(Main!S79/2)-(Main!D79/2)</f>
        <v>23.85</v>
      </c>
      <c r="Q80" s="22">
        <f>Main!C79</f>
        <v>77.094853118342996</v>
      </c>
      <c r="R80" s="22">
        <f>(Main!S79/2)-(Main!D79/2)</f>
        <v>23.85</v>
      </c>
      <c r="S80" s="22">
        <f>Main!C79</f>
        <v>77.094853118342996</v>
      </c>
      <c r="T80" s="22">
        <f>Main!S79</f>
        <v>50</v>
      </c>
      <c r="U80" s="22">
        <f>Main!S79</f>
        <v>50</v>
      </c>
      <c r="V80" s="22">
        <f>Main!T79</f>
        <v>10</v>
      </c>
      <c r="W80" s="22">
        <f>Main!R79+(Main!U79*2)</f>
        <v>8.3351553139241812</v>
      </c>
      <c r="X80" s="22">
        <f>Main!R79+(Main!U79*2)</f>
        <v>8.3351553139241812</v>
      </c>
      <c r="Y80" s="22">
        <v>3</v>
      </c>
      <c r="Z80" s="22">
        <f>Main!D79</f>
        <v>2.2999999999999998</v>
      </c>
      <c r="AA80" s="22">
        <f>Main!D79</f>
        <v>2.2999999999999998</v>
      </c>
      <c r="AB80" s="22">
        <v>3</v>
      </c>
      <c r="AC80" s="22">
        <f>(Main!R79/2)-(Main!D79/2)</f>
        <v>1.0175776569620907</v>
      </c>
      <c r="AD80" s="22">
        <v>3</v>
      </c>
      <c r="AE80" s="22">
        <f>(Main!R79/2)-(Main!D79/2)</f>
        <v>1.0175776569620907</v>
      </c>
      <c r="AF80" s="22">
        <v>3</v>
      </c>
      <c r="AG80" s="22">
        <f>(Main!R79/2)-(Main!D79/2)</f>
        <v>1.0175776569620907</v>
      </c>
      <c r="AH80" s="22">
        <v>3</v>
      </c>
      <c r="AI80" s="22">
        <f>(Main!R79/2)-(Main!D79/2)</f>
        <v>1.0175776569620907</v>
      </c>
      <c r="AJ80" s="22">
        <v>3</v>
      </c>
    </row>
    <row r="81" spans="1:36" ht="15" customHeight="1" x14ac:dyDescent="0.45">
      <c r="A81" s="22">
        <v>78</v>
      </c>
      <c r="B81" s="22">
        <f>Main!S80+(2*Main!U80)</f>
        <v>54</v>
      </c>
      <c r="C81" s="22">
        <f>Main!S80+(2*Main!U80)</f>
        <v>54</v>
      </c>
      <c r="D81" s="22">
        <f>Main!C80</f>
        <v>77.570276742787186</v>
      </c>
      <c r="E81" s="22">
        <f>(Main!D80/2)+Main!U80</f>
        <v>3.15</v>
      </c>
      <c r="F81" s="22">
        <f>(Main!D80/2)+Main!U80</f>
        <v>3.15</v>
      </c>
      <c r="G81" s="22">
        <f>(Main!D80/2)+Main!U80</f>
        <v>3.15</v>
      </c>
      <c r="H81" s="22">
        <f>(Main!D80/2)+Main!U80</f>
        <v>3.15</v>
      </c>
      <c r="I81" s="22">
        <f>Main!D80</f>
        <v>2.2999999999999998</v>
      </c>
      <c r="J81" s="22">
        <f>Main!D80</f>
        <v>2.2999999999999998</v>
      </c>
      <c r="K81" s="22">
        <f>Main!C80</f>
        <v>77.570276742787186</v>
      </c>
      <c r="L81" s="22">
        <f>(Main!S80/2)-(Main!D80/2)</f>
        <v>23.85</v>
      </c>
      <c r="M81" s="22">
        <f>Main!C80</f>
        <v>77.570276742787186</v>
      </c>
      <c r="N81" s="22">
        <f>(Main!S80/2)-(Main!D80/2)</f>
        <v>23.85</v>
      </c>
      <c r="O81" s="22">
        <f>Main!C80</f>
        <v>77.570276742787186</v>
      </c>
      <c r="P81" s="22">
        <f>(Main!S80/2)-(Main!D80/2)</f>
        <v>23.85</v>
      </c>
      <c r="Q81" s="22">
        <f>Main!C80</f>
        <v>77.570276742787186</v>
      </c>
      <c r="R81" s="22">
        <f>(Main!S80/2)-(Main!D80/2)</f>
        <v>23.85</v>
      </c>
      <c r="S81" s="22">
        <f>Main!C80</f>
        <v>77.570276742787186</v>
      </c>
      <c r="T81" s="22">
        <f>Main!S80</f>
        <v>50</v>
      </c>
      <c r="U81" s="22">
        <f>Main!S80</f>
        <v>50</v>
      </c>
      <c r="V81" s="22">
        <f>Main!T80</f>
        <v>10</v>
      </c>
      <c r="W81" s="22">
        <f>Main!R80+(Main!U80*2)</f>
        <v>8.3226819677369424</v>
      </c>
      <c r="X81" s="22">
        <f>Main!R80+(Main!U80*2)</f>
        <v>8.3226819677369424</v>
      </c>
      <c r="Y81" s="22">
        <v>3</v>
      </c>
      <c r="Z81" s="22">
        <f>Main!D80</f>
        <v>2.2999999999999998</v>
      </c>
      <c r="AA81" s="22">
        <f>Main!D80</f>
        <v>2.2999999999999998</v>
      </c>
      <c r="AB81" s="22">
        <v>3</v>
      </c>
      <c r="AC81" s="22">
        <f>(Main!R80/2)-(Main!D80/2)</f>
        <v>1.0113409838684713</v>
      </c>
      <c r="AD81" s="22">
        <v>3</v>
      </c>
      <c r="AE81" s="22">
        <f>(Main!R80/2)-(Main!D80/2)</f>
        <v>1.0113409838684713</v>
      </c>
      <c r="AF81" s="22">
        <v>3</v>
      </c>
      <c r="AG81" s="22">
        <f>(Main!R80/2)-(Main!D80/2)</f>
        <v>1.0113409838684713</v>
      </c>
      <c r="AH81" s="22">
        <v>3</v>
      </c>
      <c r="AI81" s="22">
        <f>(Main!R80/2)-(Main!D80/2)</f>
        <v>1.0113409838684713</v>
      </c>
      <c r="AJ81" s="22">
        <v>3</v>
      </c>
    </row>
    <row r="82" spans="1:36" ht="15" customHeight="1" x14ac:dyDescent="0.45">
      <c r="A82" s="22">
        <v>79</v>
      </c>
      <c r="B82" s="22">
        <f>Main!S81+(2*Main!U81)</f>
        <v>54</v>
      </c>
      <c r="C82" s="22">
        <f>Main!S81+(2*Main!U81)</f>
        <v>54</v>
      </c>
      <c r="D82" s="22">
        <f>Main!C81</f>
        <v>78.118721621072226</v>
      </c>
      <c r="E82" s="22">
        <f>(Main!D81/2)+Main!U81</f>
        <v>3.15</v>
      </c>
      <c r="F82" s="22">
        <f>(Main!D81/2)+Main!U81</f>
        <v>3.15</v>
      </c>
      <c r="G82" s="22">
        <f>(Main!D81/2)+Main!U81</f>
        <v>3.15</v>
      </c>
      <c r="H82" s="22">
        <f>(Main!D81/2)+Main!U81</f>
        <v>3.15</v>
      </c>
      <c r="I82" s="22">
        <f>Main!D81</f>
        <v>2.2999999999999998</v>
      </c>
      <c r="J82" s="22">
        <f>Main!D81</f>
        <v>2.2999999999999998</v>
      </c>
      <c r="K82" s="22">
        <f>Main!C81</f>
        <v>78.118721621072226</v>
      </c>
      <c r="L82" s="22">
        <f>(Main!S81/2)-(Main!D81/2)</f>
        <v>23.85</v>
      </c>
      <c r="M82" s="22">
        <f>Main!C81</f>
        <v>78.118721621072226</v>
      </c>
      <c r="N82" s="22">
        <f>(Main!S81/2)-(Main!D81/2)</f>
        <v>23.85</v>
      </c>
      <c r="O82" s="22">
        <f>Main!C81</f>
        <v>78.118721621072226</v>
      </c>
      <c r="P82" s="22">
        <f>(Main!S81/2)-(Main!D81/2)</f>
        <v>23.85</v>
      </c>
      <c r="Q82" s="22">
        <f>Main!C81</f>
        <v>78.118721621072226</v>
      </c>
      <c r="R82" s="22">
        <f>(Main!S81/2)-(Main!D81/2)</f>
        <v>23.85</v>
      </c>
      <c r="S82" s="22">
        <f>Main!C81</f>
        <v>78.118721621072226</v>
      </c>
      <c r="T82" s="22">
        <f>Main!S81</f>
        <v>50</v>
      </c>
      <c r="U82" s="22">
        <f>Main!S81</f>
        <v>50</v>
      </c>
      <c r="V82" s="22">
        <f>Main!T81</f>
        <v>10</v>
      </c>
      <c r="W82" s="22">
        <f>Main!R81+(Main!U81*2)</f>
        <v>8.308481408094071</v>
      </c>
      <c r="X82" s="22">
        <f>Main!R81+(Main!U81*2)</f>
        <v>8.308481408094071</v>
      </c>
      <c r="Y82" s="22">
        <v>3</v>
      </c>
      <c r="Z82" s="22">
        <f>Main!D81</f>
        <v>2.2999999999999998</v>
      </c>
      <c r="AA82" s="22">
        <f>Main!D81</f>
        <v>2.2999999999999998</v>
      </c>
      <c r="AB82" s="22">
        <v>3</v>
      </c>
      <c r="AC82" s="22">
        <f>(Main!R81/2)-(Main!D81/2)</f>
        <v>1.004240704047036</v>
      </c>
      <c r="AD82" s="22">
        <v>3</v>
      </c>
      <c r="AE82" s="22">
        <f>(Main!R81/2)-(Main!D81/2)</f>
        <v>1.004240704047036</v>
      </c>
      <c r="AF82" s="22">
        <v>3</v>
      </c>
      <c r="AG82" s="22">
        <f>(Main!R81/2)-(Main!D81/2)</f>
        <v>1.004240704047036</v>
      </c>
      <c r="AH82" s="22">
        <v>3</v>
      </c>
      <c r="AI82" s="22">
        <f>(Main!R81/2)-(Main!D81/2)</f>
        <v>1.004240704047036</v>
      </c>
      <c r="AJ82" s="22">
        <v>3</v>
      </c>
    </row>
    <row r="83" spans="1:36" ht="15" customHeight="1" x14ac:dyDescent="0.45">
      <c r="A83" s="22">
        <v>80</v>
      </c>
      <c r="B83" s="22">
        <f>Main!S82+(2*Main!U82)</f>
        <v>54</v>
      </c>
      <c r="C83" s="22">
        <f>Main!S82+(2*Main!U82)</f>
        <v>54</v>
      </c>
      <c r="D83" s="22">
        <f>Main!C82</f>
        <v>79.010720545979495</v>
      </c>
      <c r="E83" s="22">
        <f>(Main!D82/2)+Main!U82</f>
        <v>3.15</v>
      </c>
      <c r="F83" s="22">
        <f>(Main!D82/2)+Main!U82</f>
        <v>3.15</v>
      </c>
      <c r="G83" s="22">
        <f>(Main!D82/2)+Main!U82</f>
        <v>3.15</v>
      </c>
      <c r="H83" s="22">
        <f>(Main!D82/2)+Main!U82</f>
        <v>3.15</v>
      </c>
      <c r="I83" s="22">
        <f>Main!D82</f>
        <v>2.2999999999999998</v>
      </c>
      <c r="J83" s="22">
        <f>Main!D82</f>
        <v>2.2999999999999998</v>
      </c>
      <c r="K83" s="22">
        <f>Main!C82</f>
        <v>79.010720545979495</v>
      </c>
      <c r="L83" s="22">
        <f>(Main!S82/2)-(Main!D82/2)</f>
        <v>23.85</v>
      </c>
      <c r="M83" s="22">
        <f>Main!C82</f>
        <v>79.010720545979495</v>
      </c>
      <c r="N83" s="22">
        <f>(Main!S82/2)-(Main!D82/2)</f>
        <v>23.85</v>
      </c>
      <c r="O83" s="22">
        <f>Main!C82</f>
        <v>79.010720545979495</v>
      </c>
      <c r="P83" s="22">
        <f>(Main!S82/2)-(Main!D82/2)</f>
        <v>23.85</v>
      </c>
      <c r="Q83" s="22">
        <f>Main!C82</f>
        <v>79.010720545979495</v>
      </c>
      <c r="R83" s="22">
        <f>(Main!S82/2)-(Main!D82/2)</f>
        <v>23.85</v>
      </c>
      <c r="S83" s="22">
        <f>Main!C82</f>
        <v>79.010720545979495</v>
      </c>
      <c r="T83" s="22">
        <f>Main!S82</f>
        <v>50</v>
      </c>
      <c r="U83" s="22">
        <f>Main!S82</f>
        <v>50</v>
      </c>
      <c r="V83" s="22">
        <f>Main!T82</f>
        <v>10</v>
      </c>
      <c r="W83" s="22">
        <f>Main!R82+(Main!U82*2)</f>
        <v>8.2858064692460758</v>
      </c>
      <c r="X83" s="22">
        <f>Main!R82+(Main!U82*2)</f>
        <v>8.2858064692460758</v>
      </c>
      <c r="Y83" s="22">
        <v>3</v>
      </c>
      <c r="Z83" s="22">
        <f>Main!D82</f>
        <v>2.2999999999999998</v>
      </c>
      <c r="AA83" s="22">
        <f>Main!D82</f>
        <v>2.2999999999999998</v>
      </c>
      <c r="AB83" s="22">
        <v>3</v>
      </c>
      <c r="AC83" s="22">
        <f>(Main!R82/2)-(Main!D82/2)</f>
        <v>0.99290323462303842</v>
      </c>
      <c r="AD83" s="22">
        <v>3</v>
      </c>
      <c r="AE83" s="22">
        <f>(Main!R82/2)-(Main!D82/2)</f>
        <v>0.99290323462303842</v>
      </c>
      <c r="AF83" s="22">
        <v>3</v>
      </c>
      <c r="AG83" s="22">
        <f>(Main!R82/2)-(Main!D82/2)</f>
        <v>0.99290323462303842</v>
      </c>
      <c r="AH83" s="22">
        <v>3</v>
      </c>
      <c r="AI83" s="22">
        <f>(Main!R82/2)-(Main!D82/2)</f>
        <v>0.99290323462303842</v>
      </c>
      <c r="AJ83" s="22">
        <v>3</v>
      </c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Coordinates</vt:lpstr>
      <vt:lpstr>MDSL cloud import</vt:lpstr>
      <vt:lpstr>Theta</vt:lpstr>
      <vt:lpstr>Values</vt:lpstr>
      <vt:lpstr>Design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Ottensmeyer, Mark P.</cp:lastModifiedBy>
  <dcterms:created xsi:type="dcterms:W3CDTF">2026-01-06T19:00:12Z</dcterms:created>
  <dcterms:modified xsi:type="dcterms:W3CDTF">2026-01-06T20:11:11Z</dcterms:modified>
</cp:coreProperties>
</file>